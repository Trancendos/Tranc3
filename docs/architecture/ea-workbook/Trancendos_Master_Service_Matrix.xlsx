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ference Data" sheetId="2" state="visible" r:id="rId2"/>
    <sheet name="Services" sheetId="3" state="visible" r:id="rId3"/>
    <sheet name="Routes" sheetId="4" state="visible" r:id="rId4"/>
    <sheet name="Endpoints" sheetId="5" state="visible" r:id="rId5"/>
    <sheet name="Dependencies" sheetId="6" state="visible" r:id="rId6"/>
    <sheet name="Security" sheetId="7" state="visible" r:id="rId7"/>
    <sheet name="Deployment" sheetId="8" state="visible" r:id="rId8"/>
    <sheet name="Change Log" sheetId="9" state="visible" r:id="rId9"/>
    <sheet name="Deprecations" sheetId="10" state="visible" r:id="rId10"/>
    <sheet name="Executive Dashboard" sheetId="11" state="visible" r:id="rId11"/>
    <sheet name="All Workers (Broad Scan)" sheetId="12" state="visible" r:id="rId12"/>
    <sheet name="Improvement Roadmap" sheetId="13" state="visible" r:id="rId13"/>
    <sheet name="Governance 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164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55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Trancendos Master Service Matrix</t>
        </is>
      </c>
    </row>
    <row r="3" ht="60" customHeight="1">
      <c r="A3" s="2" t="inlineStr">
        <is>
          <t>Real, code-verified service/route/endpoint/dependency/security/deployment inventory for the 8 real, verified components covered so far. Built from the same schema as the uploaded Infinity Services Matrix template, but every value below is checked against actual source in Trancendos/Tranc3 (commit 182b52b) — no placeholder or example data was carried over.</t>
        </is>
      </c>
    </row>
    <row r="5">
      <c r="A5" s="3" t="inlineStr">
        <is>
          <t>Workbook Name</t>
        </is>
      </c>
      <c r="B5" s="2" t="inlineStr">
        <is>
          <t>Trancendos Master Service Matrix</t>
        </is>
      </c>
    </row>
    <row r="6">
      <c r="A6" s="3" t="inlineStr">
        <is>
          <t>Purpose</t>
        </is>
      </c>
      <c r="B6" s="2" t="inlineStr">
        <is>
          <t>Real service/route/endpoint/dependency/security/deployment catalogue for verified anchor components</t>
        </is>
      </c>
    </row>
    <row r="7">
      <c r="A7" s="3" t="inlineStr">
        <is>
          <t>Owner</t>
        </is>
      </c>
      <c r="B7" s="2" t="inlineStr">
        <is>
          <t>Andrew Porter (Trancendos)</t>
        </is>
      </c>
    </row>
    <row r="8">
      <c r="A8" s="3" t="inlineStr">
        <is>
          <t>Last Updated</t>
        </is>
      </c>
      <c r="B8" s="4" t="n">
        <v>46219</v>
      </c>
    </row>
    <row r="9">
      <c r="A9" s="3" t="inlineStr">
        <is>
          <t>Source of Truth</t>
        </is>
      </c>
      <c r="B9" s="2" t="inlineStr">
        <is>
          <t>Verified against actual code: src/, workers/, docker-compose.production.yml, infra/traefik/, deploy/terraform/ — see Notes columns for exact file references</t>
        </is>
      </c>
    </row>
    <row r="10">
      <c r="A10" s="3" t="inlineStr">
        <is>
          <t>Scope</t>
        </is>
      </c>
      <c r="B10" s="2" t="inlineStr">
        <is>
          <t>8 components deep-verified (Services/Routes/Endpoints/Dependencies/Security/Deployment sheets): The Spark, The Digital Grid, Infinity, The Void, The Workshop, The Observatory, Traefik, health-aggregator. Plus a broad structural scan of all 94 real workers/* directories (see All Workers sheet) — out of ~90 services documented in CLAUDE.md's worker map</t>
        </is>
      </c>
    </row>
    <row r="11">
      <c r="A11" s="3" t="inlineStr">
        <is>
          <t>Companion doc</t>
        </is>
      </c>
      <c r="B11" s="2" t="inlineStr">
        <is>
          <t>docs/architecture/ea-workbook/ in the Tranc3 repo — this workbook and that CSV workbook describe the same 6 anchor services plus 2 infra components; keep both in sync</t>
        </is>
      </c>
    </row>
    <row r="12">
      <c r="A12" s="3" t="inlineStr">
        <is>
          <t>Honesty rule</t>
        </is>
      </c>
      <c r="B12" s="2" t="inlineStr">
        <is>
          <t>Every Status/Coverage cell reflects what the code actually does today, including known gaps and broken features — not aspirational state</t>
        </is>
      </c>
    </row>
    <row r="14">
      <c r="A14" s="5" t="inlineStr">
        <is>
          <t>Live Architecture Scorecard (real counts, computed from the sheets below)</t>
        </is>
      </c>
    </row>
    <row r="15">
      <c r="A15" s="3" t="inlineStr">
        <is>
          <t>Metric</t>
        </is>
      </c>
      <c r="B15" s="3" t="inlineStr">
        <is>
          <t>Value</t>
        </is>
      </c>
      <c r="C15" s="3" t="inlineStr">
        <is>
          <t>Meaning</t>
        </is>
      </c>
    </row>
    <row r="16">
      <c r="A16" t="inlineStr">
        <is>
          <t>Total components</t>
        </is>
      </c>
      <c r="B16">
        <f>COUNTA(Services!A2:A100)</f>
        <v/>
      </c>
      <c r="C16" s="2" t="inlineStr">
        <is>
          <t>Real components catalogued in this workbook</t>
        </is>
      </c>
    </row>
    <row r="17">
      <c r="A17" t="inlineStr">
        <is>
          <t>Live/Active components</t>
        </is>
      </c>
      <c r="B17">
        <f>COUNTIF(Services!H2:H100,"Live")</f>
        <v/>
      </c>
      <c r="C17" s="2" t="inlineStr">
        <is>
          <t>Status=Live in Services sheet</t>
        </is>
      </c>
    </row>
    <row r="18">
      <c r="A18" t="inlineStr">
        <is>
          <t>Building/migrating components</t>
        </is>
      </c>
      <c r="B18">
        <f>COUNTIF(Services!H2:H100,"Building")</f>
        <v/>
      </c>
      <c r="C18" s="2" t="inlineStr">
        <is>
          <t>In-flight migrations (e.g. The Void: CF Worker to self-hosted)</t>
        </is>
      </c>
    </row>
    <row r="19">
      <c r="A19" t="inlineStr">
        <is>
          <t>Critical components</t>
        </is>
      </c>
      <c r="B19">
        <f>COUNTIF(Services!J2:J100,"Critical")</f>
        <v/>
      </c>
      <c r="C19" s="2" t="inlineStr">
        <is>
          <t>CriticalityCode=CRT-001 equivalents</t>
        </is>
      </c>
    </row>
    <row r="20">
      <c r="A20" t="inlineStr">
        <is>
          <t>Components missing an owner</t>
        </is>
      </c>
      <c r="B20">
        <f>COUNTIF(Services!G2:G100,"")</f>
        <v/>
      </c>
      <c r="C20" s="2" t="inlineStr">
        <is>
          <t>Should be 0 — every real component here has a named Lead AI owner</t>
        </is>
      </c>
    </row>
    <row r="21">
      <c r="A21" t="inlineStr">
        <is>
          <t>Public endpoints</t>
        </is>
      </c>
      <c r="B21">
        <f>COUNTIF(Endpoints!J2:J100,"Public")</f>
        <v/>
      </c>
      <c r="C21" s="2" t="inlineStr">
        <is>
          <t>Endpoints with a real public IP/DNS record (see Endpoints sheet)</t>
        </is>
      </c>
    </row>
    <row r="22">
      <c r="A22" t="inlineStr">
        <is>
          <t>Critical dependencies</t>
        </is>
      </c>
      <c r="B22">
        <f>COUNTIF(Dependencies!F2:F100,"Critical")</f>
        <v/>
      </c>
      <c r="C22" s="2" t="inlineStr">
        <is>
          <t>Hard dependencies whose failure has Critical impact</t>
        </is>
      </c>
    </row>
    <row r="23">
      <c r="A23" t="inlineStr">
        <is>
          <t>Known real defects (see Improvement Roadmap)</t>
        </is>
      </c>
      <c r="B23">
        <f>COUNTIF('Improvement Roadmap'!G2:G100,"Not started")</f>
        <v/>
      </c>
      <c r="C23" s="2" t="inlineStr">
        <is>
          <t>Real, verified gaps not yet fixed — not fictional governance noise</t>
        </is>
      </c>
    </row>
  </sheetData>
  <mergeCells count="1"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5" customWidth="1" min="1" max="1"/>
    <col width="90" customWidth="1" min="2" max="2"/>
  </cols>
  <sheetData>
    <row r="1">
      <c r="A1" s="6" t="inlineStr">
        <is>
          <t>Field</t>
        </is>
      </c>
      <c r="B1" s="6" t="inlineStr">
        <is>
          <t>Real value / source</t>
        </is>
      </c>
    </row>
    <row r="2">
      <c r="A2" s="2" t="inlineStr">
        <is>
          <t>Status Values (real, from docs/architecture/ea-workbook/README.md STS- codes)</t>
        </is>
      </c>
      <c r="B2" s="2" t="inlineStr">
        <is>
          <t>Planned, Building, Deploying, Live/Active, Deploying, Failed, Retired</t>
        </is>
      </c>
    </row>
    <row r="3">
      <c r="A3" s="2" t="inlineStr">
        <is>
          <t>Environment Values (real)</t>
        </is>
      </c>
      <c r="B3" s="2" t="inlineStr">
        <is>
          <t>Local (make dev-api), Production (ENV-005, SRV-CITADEL-01 — the only real production host)</t>
        </is>
      </c>
    </row>
    <row r="4">
      <c r="A4" s="2" t="inlineStr">
        <is>
          <t>Criticality Values (real, CRT- codes)</t>
        </is>
      </c>
      <c r="B4" s="2" t="inlineStr">
        <is>
          <t>CRT-001 Critical (all 8 components here are CRT-001 — no lower-criticality anchor yet catalogued)</t>
        </is>
      </c>
    </row>
    <row r="5">
      <c r="A5" s="2" t="inlineStr">
        <is>
          <t>Auth Values actually implemented</t>
        </is>
      </c>
      <c r="B5" s="2" t="inlineStr">
        <is>
          <t>Bearer JWT (HTTPBearer auto_error=False, src/auth/facade.py), OAuth2 authorization_code+PKCE (Infinity only, workers/infinity-auth/router.py), none enforced for Traefik dashboard on internal network</t>
        </is>
      </c>
    </row>
    <row r="6">
      <c r="A6" s="2" t="inlineStr">
        <is>
          <t>ACME/TLS (real, infra/traefik/traefik.yml)</t>
        </is>
      </c>
      <c r="B6" s="2" t="inlineStr">
        <is>
          <t>certificatesResolvers.letsencrypt.acme.tlsChallenge (TLS-ALPN-01) for external; internal mTLS TLSOption on :8443 for worker-to-worker</t>
        </is>
      </c>
    </row>
    <row r="7">
      <c r="A7" s="2" t="inlineStr">
        <is>
          <t>Network (real)</t>
        </is>
      </c>
      <c r="B7" s="2" t="inlineStr">
        <is>
          <t>Docker bridge tranc3-net, subnet 172.28.0.0/16 (docker-compose.production.yml)</t>
        </is>
      </c>
    </row>
    <row r="8">
      <c r="A8" s="2" t="inlineStr">
        <is>
          <t>Naming pattern actually used</t>
        </is>
      </c>
      <c r="B8" s="2" t="inlineStr">
        <is>
          <t>lowercase-hyphenated container_name / service key in docker-compose.production.yml; canonical Trancendos code-name + Tier-3 Lead AI owner per CLAUDE.md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42" customWidth="1" min="4" max="4"/>
    <col width="12" customWidth="1" min="5" max="5"/>
    <col width="16" customWidth="1" min="6" max="6"/>
    <col width="26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46" customWidth="1" min="14" max="14"/>
    <col width="70" customWidth="1" min="15" max="15"/>
  </cols>
  <sheetData>
    <row r="1">
      <c r="A1" s="6" t="inlineStr">
        <is>
          <t>Service ID</t>
        </is>
      </c>
      <c r="B1" s="6" t="inlineStr">
        <is>
          <t>Service Name</t>
        </is>
      </c>
      <c r="C1" s="6" t="inlineStr">
        <is>
          <t>Canonical Trancendos Name</t>
        </is>
      </c>
      <c r="D1" s="6" t="inlineStr">
        <is>
          <t>Description</t>
        </is>
      </c>
      <c r="E1" s="6" t="inlineStr">
        <is>
          <t>Service Type</t>
        </is>
      </c>
      <c r="F1" s="6" t="inlineStr">
        <is>
          <t>Business Domain</t>
        </is>
      </c>
      <c r="G1" s="6" t="inlineStr">
        <is>
          <t>Owner (Tier 3 Lead AI)</t>
        </is>
      </c>
      <c r="H1" s="6" t="inlineStr">
        <is>
          <t>Status</t>
        </is>
      </c>
      <c r="I1" s="6" t="inlineStr">
        <is>
          <t>Environment</t>
        </is>
      </c>
      <c r="J1" s="6" t="inlineStr">
        <is>
          <t>Criticality</t>
        </is>
      </c>
      <c r="K1" s="6" t="inlineStr">
        <is>
          <t>User Facing</t>
        </is>
      </c>
      <c r="L1" s="6" t="inlineStr">
        <is>
          <t>Internal Only</t>
        </is>
      </c>
      <c r="M1" s="6" t="inlineStr">
        <is>
          <t>Data Class</t>
        </is>
      </c>
      <c r="N1" s="6" t="inlineStr">
        <is>
          <t>Real Code Path / Port</t>
        </is>
      </c>
      <c r="O1" s="6" t="inlineStr">
        <is>
          <t>Notes</t>
        </is>
      </c>
    </row>
    <row r="2">
      <c r="A2" s="2" t="inlineStr">
        <is>
          <t>SRV-001</t>
        </is>
      </c>
      <c r="B2" s="2" t="inlineStr">
        <is>
          <t>MCP Tool Registry</t>
        </is>
      </c>
      <c r="C2" s="2" t="inlineStr">
        <is>
          <t>The Spark</t>
        </is>
      </c>
      <c r="D2" s="2" t="inlineStr">
        <is>
          <t>JSON-RPC 2.0 tool discovery/invocation over HTTP/SSE</t>
        </is>
      </c>
      <c r="E2" s="2" t="inlineStr">
        <is>
          <t>API</t>
        </is>
      </c>
      <c r="F2" s="2" t="inlineStr">
        <is>
          <t>Platform Core</t>
        </is>
      </c>
      <c r="G2" s="2" t="inlineStr">
        <is>
          <t>Norman Hawkins</t>
        </is>
      </c>
      <c r="H2" s="2" t="inlineStr">
        <is>
          <t>Live</t>
        </is>
      </c>
      <c r="I2" s="2" t="inlineStr">
        <is>
          <t>Production</t>
        </is>
      </c>
      <c r="J2" s="2" t="inlineStr">
        <is>
          <t>Critical</t>
        </is>
      </c>
      <c r="K2" s="2" t="inlineStr">
        <is>
          <t>No</t>
        </is>
      </c>
      <c r="L2" s="2" t="inlineStr">
        <is>
          <t>Yes</t>
        </is>
      </c>
      <c r="M2" s="2" t="inlineStr">
        <is>
          <t>Internal</t>
        </is>
      </c>
      <c r="N2" s="2" t="inlineStr">
        <is>
          <t>src/mcp/ — mounted on tranc3-backend :8000, routes under /mcp</t>
        </is>
      </c>
      <c r="O2" s="2" t="inlineStr">
        <is>
          <t>60s asyncio timeout on tools/call; errors returned as JSON-RPC envelope inside HTTP 200, not 4xx; bearer JWT auth, no OAuth2 scope enforced</t>
        </is>
      </c>
    </row>
    <row r="3">
      <c r="A3" s="2" t="inlineStr">
        <is>
          <t>SRV-002</t>
        </is>
      </c>
      <c r="B3" s="2" t="inlineStr">
        <is>
          <t>Workflow Engine</t>
        </is>
      </c>
      <c r="C3" s="2" t="inlineStr">
        <is>
          <t>The Digital Grid</t>
        </is>
      </c>
      <c r="D3" s="2" t="inlineStr">
        <is>
          <t>Topological BFS DAG executor, parallel layers</t>
        </is>
      </c>
      <c r="E3" s="2" t="inlineStr">
        <is>
          <t>Backend</t>
        </is>
      </c>
      <c r="F3" s="2" t="inlineStr">
        <is>
          <t>Platform Core</t>
        </is>
      </c>
      <c r="G3" s="2" t="inlineStr">
        <is>
          <t>Tyler Towncroft</t>
        </is>
      </c>
      <c r="H3" s="2" t="inlineStr">
        <is>
          <t>Live</t>
        </is>
      </c>
      <c r="I3" s="2" t="inlineStr">
        <is>
          <t>Production</t>
        </is>
      </c>
      <c r="J3" s="2" t="inlineStr">
        <is>
          <t>Critical</t>
        </is>
      </c>
      <c r="K3" s="2" t="inlineStr">
        <is>
          <t>No</t>
        </is>
      </c>
      <c r="L3" s="2" t="inlineStr">
        <is>
          <t>Yes</t>
        </is>
      </c>
      <c r="M3" s="2" t="inlineStr">
        <is>
          <t>Internal</t>
        </is>
      </c>
      <c r="N3" s="2" t="inlineStr">
        <is>
          <t>src/workflow/, workers/workflow-engine-service/ — :8034, POST /workflows</t>
        </is>
      </c>
      <c r="O3" s="2" t="inlineStr">
        <is>
          <t>AutoScalingEnabled=TRUE (max 3) but docker compose --scale can't work yet: fixed container_name + fixed host port 8034:8034 both block it</t>
        </is>
      </c>
    </row>
    <row r="4">
      <c r="A4" s="2" t="inlineStr">
        <is>
          <t>SRV-003</t>
        </is>
      </c>
      <c r="B4" s="2" t="inlineStr">
        <is>
          <t>Identity Provider</t>
        </is>
      </c>
      <c r="C4" s="2" t="inlineStr">
        <is>
          <t>Infinity</t>
        </is>
      </c>
      <c r="D4" s="2" t="inlineStr">
        <is>
          <t>OAuth2/OIDC auth, session mgmt, MFA</t>
        </is>
      </c>
      <c r="E4" s="2" t="inlineStr">
        <is>
          <t>Auth</t>
        </is>
      </c>
      <c r="F4" s="2" t="inlineStr">
        <is>
          <t>Security</t>
        </is>
      </c>
      <c r="G4" s="2" t="inlineStr">
        <is>
          <t>The Guardian (Anchor: Orb of Orisis)</t>
        </is>
      </c>
      <c r="H4" s="2" t="inlineStr">
        <is>
          <t>Live</t>
        </is>
      </c>
      <c r="I4" s="2" t="inlineStr">
        <is>
          <t>Production</t>
        </is>
      </c>
      <c r="J4" s="2" t="inlineStr">
        <is>
          <t>Critical</t>
        </is>
      </c>
      <c r="K4" s="2" t="inlineStr">
        <is>
          <t>Yes</t>
        </is>
      </c>
      <c r="L4" s="2" t="inlineStr">
        <is>
          <t>No</t>
        </is>
      </c>
      <c r="M4" s="2" t="inlineStr">
        <is>
          <t>Restricted</t>
        </is>
      </c>
      <c r="N4" s="2" t="inlineStr">
        <is>
          <t>workers/infinity-auth/ — :8005, POST /auth/token, GET /auth/verify</t>
        </is>
      </c>
      <c r="O4" s="2" t="inlineStr">
        <is>
          <t>authorization_code (+PKCE) works; refresh_token grant is broken (queries nonexistent refresh_tokens table); token_endpoint issues an opaque secrets.token_urlsafe(32) string, not a JWT, so it fails /auth/verify too</t>
        </is>
      </c>
    </row>
    <row r="5">
      <c r="A5" s="2" t="inlineStr">
        <is>
          <t>SRV-004</t>
        </is>
      </c>
      <c r="B5" s="2" t="inlineStr">
        <is>
          <t>Secrets Vault</t>
        </is>
      </c>
      <c r="C5" s="2" t="inlineStr">
        <is>
          <t>The Void</t>
        </is>
      </c>
      <c r="D5" s="2" t="inlineStr">
        <is>
          <t>AES-GCM encrypted secrets store, Shamir unseal</t>
        </is>
      </c>
      <c r="E5" s="2" t="inlineStr">
        <is>
          <t>Utility</t>
        </is>
      </c>
      <c r="F5" s="2" t="inlineStr">
        <is>
          <t>Security</t>
        </is>
      </c>
      <c r="G5" s="2" t="inlineStr">
        <is>
          <t>Prometheus</t>
        </is>
      </c>
      <c r="H5" s="2" t="inlineStr">
        <is>
          <t>Building</t>
        </is>
      </c>
      <c r="I5" s="2" t="inlineStr">
        <is>
          <t>Production</t>
        </is>
      </c>
      <c r="J5" s="2" t="inlineStr">
        <is>
          <t>Critical</t>
        </is>
      </c>
      <c r="K5" s="2" t="inlineStr">
        <is>
          <t>No</t>
        </is>
      </c>
      <c r="L5" s="2" t="inlineStr">
        <is>
          <t>Yes</t>
        </is>
      </c>
      <c r="M5" s="2" t="inlineStr">
        <is>
          <t>Restricted</t>
        </is>
      </c>
      <c r="N5" s="2" t="inlineStr">
        <is>
          <t>workers/vault-service/ — :8038, GET /secrets/{id}</t>
        </is>
      </c>
      <c r="O5" s="2" t="inlineStr">
        <is>
          <t>In-flight migration from CF Worker infinity-void; GET /secrets/{id} returns metadata only (key/tags/ttl/version), never the decrypted value — no endpoint currently exposes it</t>
        </is>
      </c>
    </row>
    <row r="6">
      <c r="A6" s="2" t="inlineStr">
        <is>
          <t>SRV-005</t>
        </is>
      </c>
      <c r="B6" s="2" t="inlineStr">
        <is>
          <t>Git Hosting &amp; CI/CD</t>
        </is>
      </c>
      <c r="C6" s="2" t="inlineStr">
        <is>
          <t>The Workshop</t>
        </is>
      </c>
      <c r="D6" s="2" t="inlineStr">
        <is>
          <t>Self-hosted Forgejo git + Actions runner</t>
        </is>
      </c>
      <c r="E6" s="2" t="inlineStr">
        <is>
          <t>Utility</t>
        </is>
      </c>
      <c r="F6" s="2" t="inlineStr">
        <is>
          <t>DevOps</t>
        </is>
      </c>
      <c r="G6" s="2" t="inlineStr">
        <is>
          <t>Larry Lowhammer</t>
        </is>
      </c>
      <c r="H6" s="2" t="inlineStr">
        <is>
          <t>Live</t>
        </is>
      </c>
      <c r="I6" s="2" t="inlineStr">
        <is>
          <t>Production</t>
        </is>
      </c>
      <c r="J6" s="2" t="inlineStr">
        <is>
          <t>Critical</t>
        </is>
      </c>
      <c r="K6" s="2" t="inlineStr">
        <is>
          <t>Yes</t>
        </is>
      </c>
      <c r="L6" s="2" t="inlineStr">
        <is>
          <t>No</t>
        </is>
      </c>
      <c r="M6" s="2" t="inlineStr">
        <is>
          <t>Internal</t>
        </is>
      </c>
      <c r="N6" s="2" t="inlineStr">
        <is>
          <t>deploy/forgejo/ — Forgejo container :3000 (Traefik), SSH :2222</t>
        </is>
      </c>
      <c r="O6" s="2" t="inlineStr">
        <is>
          <t>Real Traefik rule Host(trancendos.com)&amp;&amp;PathPrefix(/the-workshop); the-workshop.trancendos.com CNAME (real DNS record) has no matching host rule so it does not currently reach Forgejo</t>
        </is>
      </c>
    </row>
    <row r="7">
      <c r="A7" s="2" t="inlineStr">
        <is>
          <t>SRV-006</t>
        </is>
      </c>
      <c r="B7" s="2" t="inlineStr">
        <is>
          <t>Audit &amp; Monitoring</t>
        </is>
      </c>
      <c r="C7" s="2" t="inlineStr">
        <is>
          <t>The Observatory</t>
        </is>
      </c>
      <c r="D7" s="2" t="inlineStr">
        <is>
          <t>Metrics, tracing, audit log aggregation</t>
        </is>
      </c>
      <c r="E7" s="2" t="inlineStr">
        <is>
          <t>Backend</t>
        </is>
      </c>
      <c r="F7" s="2" t="inlineStr">
        <is>
          <t>Platform Core</t>
        </is>
      </c>
      <c r="G7" s="2" t="inlineStr">
        <is>
          <t>Norman Hawkins</t>
        </is>
      </c>
      <c r="H7" s="2" t="inlineStr">
        <is>
          <t>Live</t>
        </is>
      </c>
      <c r="I7" s="2" t="inlineStr">
        <is>
          <t>Production</t>
        </is>
      </c>
      <c r="J7" s="2" t="inlineStr">
        <is>
          <t>Critical</t>
        </is>
      </c>
      <c r="K7" s="2" t="inlineStr">
        <is>
          <t>No</t>
        </is>
      </c>
      <c r="L7" s="2" t="inlineStr">
        <is>
          <t>Yes</t>
        </is>
      </c>
      <c r="M7" s="2" t="inlineStr">
        <is>
          <t>Restricted</t>
        </is>
      </c>
      <c r="N7" s="2" t="inlineStr">
        <is>
          <t>workers/observatory/ — :8065, GET /logs, /health</t>
        </is>
      </c>
      <c r="O7" s="2" t="inlineStr">
        <is>
          <t>No real persistence: OBSERVATORY_DB_PATH is mounted but never opened; audit events live only in an in-process deque (src/observability/observatory.py) and are lost on restart</t>
        </is>
      </c>
    </row>
    <row r="8">
      <c r="A8" s="2" t="inlineStr">
        <is>
          <t>SRV-007</t>
        </is>
      </c>
      <c r="B8" s="2" t="inlineStr">
        <is>
          <t>Reverse Proxy / Ingress</t>
        </is>
      </c>
      <c r="C8" s="2" t="inlineStr">
        <is>
          <t>Traefik</t>
        </is>
      </c>
      <c r="D8" s="2" t="inlineStr">
        <is>
          <t>TLS termination, routing, internal mTLS, ACME</t>
        </is>
      </c>
      <c r="E8" s="2" t="inlineStr">
        <is>
          <t>Router</t>
        </is>
      </c>
      <c r="F8" s="2" t="inlineStr">
        <is>
          <t>Infrastructure</t>
        </is>
      </c>
      <c r="G8" s="2" t="inlineStr">
        <is>
          <t>Cornelius MacIntyre</t>
        </is>
      </c>
      <c r="H8" s="2" t="inlineStr">
        <is>
          <t>Live</t>
        </is>
      </c>
      <c r="I8" s="2" t="inlineStr">
        <is>
          <t>Production</t>
        </is>
      </c>
      <c r="J8" s="2" t="inlineStr">
        <is>
          <t>Critical</t>
        </is>
      </c>
      <c r="K8" s="2" t="inlineStr">
        <is>
          <t>Yes</t>
        </is>
      </c>
      <c r="L8" s="2" t="inlineStr">
        <is>
          <t>No</t>
        </is>
      </c>
      <c r="M8" s="2" t="inlineStr">
        <is>
          <t>Public</t>
        </is>
      </c>
      <c r="N8" s="2" t="inlineStr">
        <is>
          <t>docker-compose.production.yml (tranc3-traefik) + infra/traefik/traefik.yml — :80/:443/:8443(mTLS)/:8090(ping)</t>
        </is>
      </c>
      <c r="O8" s="2" t="inlineStr">
        <is>
          <t>certResolver=letsencrypt uses tlsChallenge (TLS-ALPN-01); --ping=true fixed this session so the compose healthcheck (traefik healthcheck --ping) actually passes</t>
        </is>
      </c>
    </row>
    <row r="9">
      <c r="A9" s="2" t="inlineStr">
        <is>
          <t>SRV-008</t>
        </is>
      </c>
      <c r="B9" s="2" t="inlineStr">
        <is>
          <t>Health Aggregator</t>
        </is>
      </c>
      <c r="C9" s="2" t="inlineStr">
        <is>
          <t>health-aggregator</t>
        </is>
      </c>
      <c r="D9" s="2" t="inlineStr">
        <is>
          <t>Polls every registered service /health every 30s</t>
        </is>
      </c>
      <c r="E9" s="2" t="inlineStr">
        <is>
          <t>Utility</t>
        </is>
      </c>
      <c r="F9" s="2" t="inlineStr">
        <is>
          <t>Platform Core</t>
        </is>
      </c>
      <c r="G9" s="2" t="inlineStr">
        <is>
          <t>Cornelius MacIntyre</t>
        </is>
      </c>
      <c r="H9" s="2" t="inlineStr">
        <is>
          <t>Live</t>
        </is>
      </c>
      <c r="I9" s="2" t="inlineStr">
        <is>
          <t>Production</t>
        </is>
      </c>
      <c r="J9" s="2" t="inlineStr">
        <is>
          <t>Medium</t>
        </is>
      </c>
      <c r="K9" s="2" t="inlineStr">
        <is>
          <t>No</t>
        </is>
      </c>
      <c r="L9" s="2" t="inlineStr">
        <is>
          <t>Yes</t>
        </is>
      </c>
      <c r="M9" s="2" t="inlineStr">
        <is>
          <t>Internal</t>
        </is>
      </c>
      <c r="N9" s="2" t="inlineStr">
        <is>
          <t>workers/health-aggregator/ — :8029, POST/GET /services</t>
        </is>
      </c>
      <c r="O9" s="2" t="inlineStr">
        <is>
          <t>Hardcoded SERVICE_REGISTRY had 11 P3-block services on wrong ports (alphabetical vs real compose mapping) — fixed this session; scripts/register_ea_workbook_services.py can feed it from the CMDB but nothing calls that script automatically yet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8" customWidth="1" min="4" max="4"/>
    <col width="10" customWidth="1" min="5" max="5"/>
    <col width="10" customWidth="1" min="6" max="6"/>
    <col width="14" customWidth="1" min="7" max="7"/>
    <col width="12" customWidth="1" min="8" max="8"/>
    <col width="55" customWidth="1" min="9" max="9"/>
    <col width="65" customWidth="1" min="10" max="10"/>
  </cols>
  <sheetData>
    <row r="1">
      <c r="A1" s="6" t="inlineStr">
        <is>
          <t>Rule ID</t>
        </is>
      </c>
      <c r="B1" s="6" t="inlineStr">
        <is>
          <t>Source</t>
        </is>
      </c>
      <c r="C1" s="6" t="inlineStr">
        <is>
          <t>Target Service</t>
        </is>
      </c>
      <c r="D1" s="6" t="inlineStr">
        <is>
          <t>Request Type</t>
        </is>
      </c>
      <c r="E1" s="6" t="inlineStr">
        <is>
          <t>Protocol</t>
        </is>
      </c>
      <c r="F1" s="6" t="inlineStr">
        <is>
          <t>Port(s)</t>
        </is>
      </c>
      <c r="G1" s="6" t="inlineStr">
        <is>
          <t>Trust Level</t>
        </is>
      </c>
      <c r="H1" s="6" t="inlineStr">
        <is>
          <t>Route Action</t>
        </is>
      </c>
      <c r="I1" s="6" t="inlineStr">
        <is>
          <t>Real Traefik Rule / Path</t>
        </is>
      </c>
      <c r="J1" s="6" t="inlineStr">
        <is>
          <t>Notes</t>
        </is>
      </c>
    </row>
    <row r="2">
      <c r="A2" s="2" t="inlineStr">
        <is>
          <t>RTE-001</t>
        </is>
      </c>
      <c r="B2" s="2" t="inlineStr">
        <is>
          <t>External Client</t>
        </is>
      </c>
      <c r="C2" s="2" t="inlineStr">
        <is>
          <t>Traefik</t>
        </is>
      </c>
      <c r="D2" s="2" t="inlineStr">
        <is>
          <t>HTTPS request</t>
        </is>
      </c>
      <c r="E2" s="2" t="inlineStr">
        <is>
          <t>HTTPS</t>
        </is>
      </c>
      <c r="F2" s="2" t="n">
        <v>443</v>
      </c>
      <c r="G2" s="2" t="inlineStr">
        <is>
          <t>Untrusted</t>
        </is>
      </c>
      <c r="H2" s="2" t="inlineStr">
        <is>
          <t>Proxy</t>
        </is>
      </c>
      <c r="I2" s="2" t="inlineStr">
        <is>
          <t>entrypoints.websecure, tls.certResolver=letsencrypt</t>
        </is>
      </c>
      <c r="J2" s="2" t="inlineStr">
        <is>
          <t>Public internet entrypoint; HTTP :80 redirects to HTTPS per infra/traefik/traefik.yml</t>
        </is>
      </c>
    </row>
    <row r="3">
      <c r="A3" s="2" t="inlineStr">
        <is>
          <t>RTE-002</t>
        </is>
      </c>
      <c r="B3" s="2" t="inlineStr">
        <is>
          <t>Traefik</t>
        </is>
      </c>
      <c r="C3" s="2" t="inlineStr">
        <is>
          <t>The Spark</t>
        </is>
      </c>
      <c r="D3" s="2" t="inlineStr">
        <is>
          <t>HTTP (internal)</t>
        </is>
      </c>
      <c r="E3" s="2" t="inlineStr">
        <is>
          <t>HTTP</t>
        </is>
      </c>
      <c r="F3" s="2" t="n">
        <v>8000</v>
      </c>
      <c r="G3" s="2" t="inlineStr">
        <is>
          <t>Internal</t>
        </is>
      </c>
      <c r="H3" s="2" t="inlineStr">
        <is>
          <t>Allow</t>
        </is>
      </c>
      <c r="I3" s="2" t="inlineStr">
        <is>
          <t>Mounted on tranc3-backend, no dedicated Traefik router label found for :8000 in compose</t>
        </is>
      </c>
      <c r="J3" s="2" t="inlineStr">
        <is>
          <t>The Spark is reached as part of the main backend app, not a standalone Traefik-routed service</t>
        </is>
      </c>
    </row>
    <row r="4">
      <c r="A4" s="2" t="inlineStr">
        <is>
          <t>RTE-003</t>
        </is>
      </c>
      <c r="B4" s="2" t="inlineStr">
        <is>
          <t>Traefik</t>
        </is>
      </c>
      <c r="C4" s="2" t="inlineStr">
        <is>
          <t>The Digital Grid</t>
        </is>
      </c>
      <c r="D4" s="2" t="inlineStr">
        <is>
          <t>HTTP (internal)</t>
        </is>
      </c>
      <c r="E4" s="2" t="inlineStr">
        <is>
          <t>HTTP</t>
        </is>
      </c>
      <c r="F4" s="2" t="n">
        <v>8034</v>
      </c>
      <c r="G4" s="2" t="inlineStr">
        <is>
          <t>Internal</t>
        </is>
      </c>
      <c r="H4" s="2" t="inlineStr">
        <is>
          <t>Allow</t>
        </is>
      </c>
      <c r="I4" s="2" t="inlineStr">
        <is>
          <t>workflow-engine-service, published host port 8034:8034</t>
        </is>
      </c>
      <c r="J4" s="2" t="inlineStr">
        <is>
          <t>Fixed host port blocks any future scale-out beyond 1 replica</t>
        </is>
      </c>
    </row>
    <row r="5">
      <c r="A5" s="2" t="inlineStr">
        <is>
          <t>RTE-004</t>
        </is>
      </c>
      <c r="B5" s="2" t="inlineStr">
        <is>
          <t>Traefik</t>
        </is>
      </c>
      <c r="C5" s="2" t="inlineStr">
        <is>
          <t>Infinity</t>
        </is>
      </c>
      <c r="D5" s="2" t="inlineStr">
        <is>
          <t>HTTP (internal)</t>
        </is>
      </c>
      <c r="E5" s="2" t="inlineStr">
        <is>
          <t>HTTP</t>
        </is>
      </c>
      <c r="F5" s="2" t="n">
        <v>8005</v>
      </c>
      <c r="G5" s="2" t="inlineStr">
        <is>
          <t>Internal</t>
        </is>
      </c>
      <c r="H5" s="2" t="inlineStr">
        <is>
          <t>Allow</t>
        </is>
      </c>
      <c r="I5" s="2" t="inlineStr">
        <is>
          <t>infinity-auth container</t>
        </is>
      </c>
      <c r="J5" s="2" t="inlineStr">
        <is>
          <t>authorization_code + PKCE only; no /oauth2/token, no client_credentials</t>
        </is>
      </c>
    </row>
    <row r="6">
      <c r="A6" s="2" t="inlineStr">
        <is>
          <t>RTE-005</t>
        </is>
      </c>
      <c r="B6" s="2" t="inlineStr">
        <is>
          <t>Traefik</t>
        </is>
      </c>
      <c r="C6" s="2" t="inlineStr">
        <is>
          <t>The Void</t>
        </is>
      </c>
      <c r="D6" s="2" t="inlineStr">
        <is>
          <t>HTTP (internal)</t>
        </is>
      </c>
      <c r="E6" s="2" t="inlineStr">
        <is>
          <t>HTTP</t>
        </is>
      </c>
      <c r="F6" s="2" t="n">
        <v>8038</v>
      </c>
      <c r="G6" s="2" t="inlineStr">
        <is>
          <t>Internal</t>
        </is>
      </c>
      <c r="H6" s="2" t="inlineStr">
        <is>
          <t>Allow</t>
        </is>
      </c>
      <c r="I6" s="2" t="inlineStr">
        <is>
          <t>vault-service container</t>
        </is>
      </c>
      <c r="J6" s="2" t="inlineStr">
        <is>
          <t>Internal hop is plain HTTP — no TLS/mTLS configured for this in-cluster call today</t>
        </is>
      </c>
    </row>
    <row r="7">
      <c r="A7" s="2" t="inlineStr">
        <is>
          <t>RTE-006</t>
        </is>
      </c>
      <c r="B7" s="2" t="inlineStr">
        <is>
          <t>Traefik</t>
        </is>
      </c>
      <c r="C7" s="2" t="inlineStr">
        <is>
          <t>The Workshop</t>
        </is>
      </c>
      <c r="D7" s="2" t="inlineStr">
        <is>
          <t>HTTP (internal)</t>
        </is>
      </c>
      <c r="E7" s="2" t="inlineStr">
        <is>
          <t>HTTPS</t>
        </is>
      </c>
      <c r="F7" s="2" t="n">
        <v>3000</v>
      </c>
      <c r="G7" s="2" t="inlineStr">
        <is>
          <t>Internal</t>
        </is>
      </c>
      <c r="H7" s="2" t="inlineStr">
        <is>
          <t>Allow</t>
        </is>
      </c>
      <c r="I7" s="2" t="inlineStr">
        <is>
          <t>Host(`trancendos.com`) &amp;&amp; PathPrefix(`/the-workshop`), tls.certresolver=letsencrypt</t>
        </is>
      </c>
      <c r="J7" s="2" t="inlineStr">
        <is>
          <t>Only matches Host=trancendos.com — a request with Host=the-workshop.trancendos.com does NOT match this rule</t>
        </is>
      </c>
    </row>
    <row r="8">
      <c r="A8" s="2" t="inlineStr">
        <is>
          <t>RTE-007</t>
        </is>
      </c>
      <c r="B8" s="2" t="inlineStr">
        <is>
          <t>Traefik</t>
        </is>
      </c>
      <c r="C8" s="2" t="inlineStr">
        <is>
          <t>The Observatory</t>
        </is>
      </c>
      <c r="D8" s="2" t="inlineStr">
        <is>
          <t>HTTP (internal)</t>
        </is>
      </c>
      <c r="E8" s="2" t="inlineStr">
        <is>
          <t>HTTP</t>
        </is>
      </c>
      <c r="F8" s="2" t="n">
        <v>8065</v>
      </c>
      <c r="G8" s="2" t="inlineStr">
        <is>
          <t>Internal</t>
        </is>
      </c>
      <c r="H8" s="2" t="inlineStr">
        <is>
          <t>Allow</t>
        </is>
      </c>
      <c r="I8" s="2" t="inlineStr">
        <is>
          <t>observatory container, OBSERVATORY_PORT env (fixed this session)</t>
        </is>
      </c>
      <c r="J8" s="2" t="inlineStr">
        <is>
          <t>Dockerfile CMD/HEALTHCHECK previously hardcoded 8040, ignoring compose's OBSERVATORY_PORT=8065 — fixed</t>
        </is>
      </c>
    </row>
    <row r="9">
      <c r="A9" s="2" t="inlineStr">
        <is>
          <t>RTE-008</t>
        </is>
      </c>
      <c r="B9" s="2" t="inlineStr">
        <is>
          <t>health-aggregator</t>
        </is>
      </c>
      <c r="C9" s="2" t="inlineStr">
        <is>
          <t>All 6 anchor services</t>
        </is>
      </c>
      <c r="D9" s="2" t="inlineStr">
        <is>
          <t>HTTP GET /health</t>
        </is>
      </c>
      <c r="E9" s="2" t="inlineStr">
        <is>
          <t>HTTP</t>
        </is>
      </c>
      <c r="F9" s="2" t="inlineStr">
        <is>
          <t>varies</t>
        </is>
      </c>
      <c r="G9" s="2" t="inlineStr">
        <is>
          <t>Internal</t>
        </is>
      </c>
      <c r="H9" s="2" t="inlineStr">
        <is>
          <t>Allow</t>
        </is>
      </c>
      <c r="I9" s="2" t="inlineStr">
        <is>
          <t>SERVICE_REGISTRY in workers/health-aggregator/worker.py</t>
        </is>
      </c>
      <c r="J9" s="2" t="inlineStr">
        <is>
          <t>Polls every 30s; port mapping for the P3 block was wrong for 11 services, fixed this session</t>
        </is>
      </c>
    </row>
    <row r="10">
      <c r="A10" s="2" t="inlineStr">
        <is>
          <t>RTE-009</t>
        </is>
      </c>
      <c r="B10" s="2" t="inlineStr">
        <is>
          <t>Worker-to-worker (any)</t>
        </is>
      </c>
      <c r="C10" s="2" t="inlineStr">
        <is>
          <t>Any internal worker</t>
        </is>
      </c>
      <c r="D10" s="2" t="inlineStr">
        <is>
          <t>mTLS</t>
        </is>
      </c>
      <c r="E10" s="2" t="inlineStr">
        <is>
          <t>HTTPS</t>
        </is>
      </c>
      <c r="F10" s="2" t="n">
        <v>8443</v>
      </c>
      <c r="G10" s="2" t="inlineStr">
        <is>
          <t>Internal (mTLS)</t>
        </is>
      </c>
      <c r="H10" s="2" t="inlineStr">
        <is>
          <t>Allow</t>
        </is>
      </c>
      <c r="I10" s="2" t="inlineStr">
        <is>
          <t>entryPoints.internal in infra/traefik/traefik.yml, TLSOption requires client cert signed by internal-ca.pem</t>
        </is>
      </c>
      <c r="J10" s="2" t="inlineStr">
        <is>
          <t>Separate internal-only entrypoint from the public :443 — not exposed externally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6" customWidth="1" min="3" max="3"/>
    <col width="8" customWidth="1" min="4" max="4"/>
    <col width="14" customWidth="1" min="5" max="5"/>
    <col width="16" customWidth="1" min="6" max="6"/>
    <col width="8" customWidth="1" min="7" max="7"/>
    <col width="30" customWidth="1" min="8" max="8"/>
    <col width="18" customWidth="1" min="9" max="9"/>
    <col width="70" customWidth="1" min="10" max="10"/>
  </cols>
  <sheetData>
    <row r="1">
      <c r="A1" s="6" t="inlineStr">
        <is>
          <t>Endpoint ID</t>
        </is>
      </c>
      <c r="B1" s="6" t="inlineStr">
        <is>
          <t>Service Name</t>
        </is>
      </c>
      <c r="C1" s="6" t="inlineStr">
        <is>
          <t>Hostname / DNS record</t>
        </is>
      </c>
      <c r="D1" s="6" t="inlineStr">
        <is>
          <t>Port</t>
        </is>
      </c>
      <c r="E1" s="6" t="inlineStr">
        <is>
          <t>Protocol</t>
        </is>
      </c>
      <c r="F1" s="6" t="inlineStr">
        <is>
          <t>Interface Type</t>
        </is>
      </c>
      <c r="G1" s="6" t="inlineStr">
        <is>
          <t>TLS</t>
        </is>
      </c>
      <c r="H1" s="6" t="inlineStr">
        <is>
          <t>Certificate Source</t>
        </is>
      </c>
      <c r="I1" s="6" t="inlineStr">
        <is>
          <t>Public Exposure?</t>
        </is>
      </c>
      <c r="J1" s="6" t="inlineStr">
        <is>
          <t>Notes</t>
        </is>
      </c>
    </row>
    <row r="2">
      <c r="A2" s="2" t="inlineStr">
        <is>
          <t>EP-001</t>
        </is>
      </c>
      <c r="B2" s="2" t="inlineStr">
        <is>
          <t>Traefik (apex)</t>
        </is>
      </c>
      <c r="C2" s="2" t="inlineStr">
        <is>
          <t>trancendos.com (A, cloudflare_record.apex)</t>
        </is>
      </c>
      <c r="D2" s="2" t="n">
        <v>443</v>
      </c>
      <c r="E2" s="2" t="inlineStr">
        <is>
          <t>HTTPS</t>
        </is>
      </c>
      <c r="F2" s="2" t="inlineStr">
        <is>
          <t>Public</t>
        </is>
      </c>
      <c r="G2" s="2" t="inlineStr">
        <is>
          <t>Yes</t>
        </is>
      </c>
      <c r="H2" s="2" t="inlineStr">
        <is>
          <t>Let's Encrypt via tlsChallenge</t>
        </is>
      </c>
      <c r="I2" s="2" t="inlineStr">
        <is>
          <t>Public</t>
        </is>
      </c>
      <c r="J2" s="2" t="inlineStr">
        <is>
          <t>Real Terraform record (deploy/terraform/oci-citadel-dns.tf); resolves to oci_core_public_ip.citadel.ip_address at apply time; proxied=false (grey cloud, required for TLS-ALPN-01)</t>
        </is>
      </c>
    </row>
    <row r="3">
      <c r="A3" s="2" t="inlineStr">
        <is>
          <t>EP-002</t>
        </is>
      </c>
      <c r="B3" s="2" t="inlineStr">
        <is>
          <t>Traefik (www)</t>
        </is>
      </c>
      <c r="C3" s="2" t="inlineStr">
        <is>
          <t>www.trancendos.com (A, cloudflare_record.www)</t>
        </is>
      </c>
      <c r="D3" s="2" t="n">
        <v>443</v>
      </c>
      <c r="E3" s="2" t="inlineStr">
        <is>
          <t>HTTPS</t>
        </is>
      </c>
      <c r="F3" s="2" t="inlineStr">
        <is>
          <t>Public</t>
        </is>
      </c>
      <c r="G3" s="2" t="inlineStr">
        <is>
          <t>Yes</t>
        </is>
      </c>
      <c r="H3" s="2" t="inlineStr">
        <is>
          <t>Let's Encrypt via tlsChallenge</t>
        </is>
      </c>
      <c r="I3" s="2" t="inlineStr">
        <is>
          <t>Public</t>
        </is>
      </c>
      <c r="J3" s="2" t="inlineStr">
        <is>
          <t>Real Terraform record; proxied=false</t>
        </is>
      </c>
    </row>
    <row r="4">
      <c r="A4" s="2" t="inlineStr">
        <is>
          <t>EP-003</t>
        </is>
      </c>
      <c r="B4" s="2" t="inlineStr">
        <is>
          <t>Traefik (api)</t>
        </is>
      </c>
      <c r="C4" s="2" t="inlineStr">
        <is>
          <t>api.trancendos.com (A, cloudflare_record.api)</t>
        </is>
      </c>
      <c r="D4" s="2" t="n">
        <v>443</v>
      </c>
      <c r="E4" s="2" t="inlineStr">
        <is>
          <t>HTTPS</t>
        </is>
      </c>
      <c r="F4" s="2" t="inlineStr">
        <is>
          <t>Public</t>
        </is>
      </c>
      <c r="G4" s="2" t="inlineStr">
        <is>
          <t>Yes</t>
        </is>
      </c>
      <c r="H4" s="2" t="inlineStr">
        <is>
          <t>Let's Encrypt via tlsChallenge</t>
        </is>
      </c>
      <c r="I4" s="2" t="inlineStr">
        <is>
          <t>Public</t>
        </is>
      </c>
      <c r="J4" s="2" t="inlineStr">
        <is>
          <t>A record inside the trancendos.com zone — NOT a separate delegated zone; proxied=false</t>
        </is>
      </c>
    </row>
    <row r="5">
      <c r="A5" s="2" t="inlineStr">
        <is>
          <t>EP-004</t>
        </is>
      </c>
      <c r="B5" s="2" t="inlineStr">
        <is>
          <t>The Workshop / Forgejo</t>
        </is>
      </c>
      <c r="C5" s="2" t="inlineStr">
        <is>
          <t>the-workshop.trancendos.com (CNAME, cloudflare_record.the_workshop)</t>
        </is>
      </c>
      <c r="D5" s="2" t="inlineStr">
        <is>
          <t>n/a</t>
        </is>
      </c>
      <c r="E5" s="2" t="inlineStr">
        <is>
          <t>HTTP(S)</t>
        </is>
      </c>
      <c r="F5" s="2" t="inlineStr">
        <is>
          <t>Public (DNS only)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Public DNS, non-functional at HTTP layer</t>
        </is>
      </c>
      <c r="J5" s="2" t="inlineStr">
        <is>
          <t>Real DNS record provisioned by Terraform, but no Traefik host rule matches this Host header today — request does not currently reach Forgejo</t>
        </is>
      </c>
    </row>
    <row r="6">
      <c r="A6" s="2" t="inlineStr">
        <is>
          <t>EP-005</t>
        </is>
      </c>
      <c r="B6" s="2" t="inlineStr">
        <is>
          <t>The Workshop / Forgejo (SSH)</t>
        </is>
      </c>
      <c r="C6" s="2" t="inlineStr">
        <is>
          <t>trancendos.com</t>
        </is>
      </c>
      <c r="D6" s="2" t="n">
        <v>2222</v>
      </c>
      <c r="E6" s="2" t="inlineStr">
        <is>
          <t>SSH</t>
        </is>
      </c>
      <c r="F6" s="2" t="inlineStr">
        <is>
          <t>Public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Public</t>
        </is>
      </c>
      <c r="J6" s="2" t="inlineStr">
        <is>
          <t>git+ssh clone; published as 2222:22 on the Forgejo container itself, not a separate runner node</t>
        </is>
      </c>
    </row>
    <row r="7">
      <c r="A7" s="2" t="inlineStr">
        <is>
          <t>EP-006</t>
        </is>
      </c>
      <c r="B7" s="2" t="inlineStr">
        <is>
          <t>Traefik dashboard</t>
        </is>
      </c>
      <c r="C7" s="2" t="inlineStr">
        <is>
          <t>traefik.trancendos.local</t>
        </is>
      </c>
      <c r="D7" s="2" t="n">
        <v>8888</v>
      </c>
      <c r="E7" s="2" t="inlineStr">
        <is>
          <t>HTTP</t>
        </is>
      </c>
      <c r="F7" s="2" t="inlineStr">
        <is>
          <t>Internal</t>
        </is>
      </c>
      <c r="G7" s="2" t="inlineStr">
        <is>
          <t>No</t>
        </is>
      </c>
      <c r="H7" s="2" t="inlineStr">
        <is>
          <t>None</t>
        </is>
      </c>
      <c r="I7" s="2" t="inlineStr">
        <is>
          <t>Internal</t>
        </is>
      </c>
      <c r="J7" s="2" t="inlineStr">
        <is>
          <t>Local-only Host rule (.local); also published on host port 8888 — not intended for public exposure</t>
        </is>
      </c>
    </row>
    <row r="8">
      <c r="A8" s="2" t="inlineStr">
        <is>
          <t>EP-007</t>
        </is>
      </c>
      <c r="B8" s="2" t="inlineStr">
        <is>
          <t>Internal mTLS entrypoint</t>
        </is>
      </c>
      <c r="C8" s="2" t="inlineStr">
        <is>
          <t>(container network only)</t>
        </is>
      </c>
      <c r="D8" s="2" t="n">
        <v>8443</v>
      </c>
      <c r="E8" s="2" t="inlineStr">
        <is>
          <t>HTTPS (mTLS)</t>
        </is>
      </c>
      <c r="F8" s="2" t="inlineStr">
        <is>
          <t>Internal</t>
        </is>
      </c>
      <c r="G8" s="2" t="inlineStr">
        <is>
          <t>Yes</t>
        </is>
      </c>
      <c r="H8" s="2" t="inlineStr">
        <is>
          <t>Internal CA (infra/traefik/certs/internal-ca.pem)</t>
        </is>
      </c>
      <c r="I8" s="2" t="inlineStr">
        <is>
          <t>Internal only</t>
        </is>
      </c>
      <c r="J8" s="2" t="inlineStr">
        <is>
          <t>Worker-to-worker calls requiring a client cert signed by the internal CA</t>
        </is>
      </c>
    </row>
    <row r="9">
      <c r="A9" s="2" t="inlineStr">
        <is>
          <t>EP-008</t>
        </is>
      </c>
      <c r="B9" s="2" t="inlineStr">
        <is>
          <t>Traefik ping</t>
        </is>
      </c>
      <c r="C9" s="2" t="inlineStr">
        <is>
          <t>(container network only)</t>
        </is>
      </c>
      <c r="D9" s="2" t="n">
        <v>8090</v>
      </c>
      <c r="E9" s="2" t="inlineStr">
        <is>
          <t>HTTP</t>
        </is>
      </c>
      <c r="F9" s="2" t="inlineStr">
        <is>
          <t>Internal</t>
        </is>
      </c>
      <c r="G9" s="2" t="inlineStr">
        <is>
          <t>No</t>
        </is>
      </c>
      <c r="H9" s="2" t="inlineStr">
        <is>
          <t>n/a</t>
        </is>
      </c>
      <c r="I9" s="2" t="inlineStr">
        <is>
          <t>Internal only</t>
        </is>
      </c>
      <c r="J9" s="2" t="inlineStr">
        <is>
          <t>ping.entryPoint per infra/traefik/traefik.yml; compose healthcheck instead uses --ping CLI probe on the default entrypoint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16" customWidth="1" min="4" max="4"/>
    <col width="12" customWidth="1" min="5" max="5"/>
    <col width="12" customWidth="1" min="6" max="6"/>
    <col width="46" customWidth="1" min="7" max="7"/>
    <col width="60" customWidth="1" min="8" max="8"/>
  </cols>
  <sheetData>
    <row r="1">
      <c r="A1" s="6" t="inlineStr">
        <is>
          <t>Dependency ID</t>
        </is>
      </c>
      <c r="B1" s="6" t="inlineStr">
        <is>
          <t>Service</t>
        </is>
      </c>
      <c r="C1" s="6" t="inlineStr">
        <is>
          <t>Depends On</t>
        </is>
      </c>
      <c r="D1" s="6" t="inlineStr">
        <is>
          <t>Dependency Type</t>
        </is>
      </c>
      <c r="E1" s="6" t="inlineStr">
        <is>
          <t>Required</t>
        </is>
      </c>
      <c r="F1" s="6" t="inlineStr">
        <is>
          <t>Failure Impact</t>
        </is>
      </c>
      <c r="G1" s="6" t="inlineStr">
        <is>
          <t>Recovery Strategy (real)</t>
        </is>
      </c>
      <c r="H1" s="6" t="inlineStr">
        <is>
          <t>Notes</t>
        </is>
      </c>
    </row>
    <row r="2">
      <c r="A2" s="2" t="inlineStr">
        <is>
          <t>DEP-001</t>
        </is>
      </c>
      <c r="B2" s="2" t="inlineStr">
        <is>
          <t>The Spark</t>
        </is>
      </c>
      <c r="C2" s="2" t="inlineStr">
        <is>
          <t>The Void</t>
        </is>
      </c>
      <c r="D2" s="2" t="inlineStr">
        <is>
          <t>Secrets</t>
        </is>
      </c>
      <c r="E2" s="2" t="inlineStr">
        <is>
          <t>Yes</t>
        </is>
      </c>
      <c r="F2" s="2" t="inlineStr">
        <is>
          <t>Critical</t>
        </is>
      </c>
      <c r="G2" s="2" t="inlineStr">
        <is>
          <t>None automated — restart after Void recovers</t>
        </is>
      </c>
      <c r="H2" s="2" t="inlineStr">
        <is>
          <t>Cannot resolve secrets needed for tool execution if Void is down</t>
        </is>
      </c>
    </row>
    <row r="3">
      <c r="A3" s="2" t="inlineStr">
        <is>
          <t>DEP-002</t>
        </is>
      </c>
      <c r="B3" s="2" t="inlineStr">
        <is>
          <t>The Spark</t>
        </is>
      </c>
      <c r="C3" s="2" t="inlineStr">
        <is>
          <t>Infinity</t>
        </is>
      </c>
      <c r="D3" s="2" t="inlineStr">
        <is>
          <t>Auth</t>
        </is>
      </c>
      <c r="E3" s="2" t="inlineStr">
        <is>
          <t>Yes</t>
        </is>
      </c>
      <c r="F3" s="2" t="inlineStr">
        <is>
          <t>Critical</t>
        </is>
      </c>
      <c r="G3" s="2" t="inlineStr">
        <is>
          <t>None automated</t>
        </is>
      </c>
      <c r="H3" s="2" t="inlineStr">
        <is>
          <t>get_current_user dependency requires Infinity-issued JWTs to validate</t>
        </is>
      </c>
    </row>
    <row r="4">
      <c r="A4" s="2" t="inlineStr">
        <is>
          <t>DEP-003</t>
        </is>
      </c>
      <c r="B4" s="2" t="inlineStr">
        <is>
          <t>The Digital Grid</t>
        </is>
      </c>
      <c r="C4" s="2" t="inlineStr">
        <is>
          <t>The Void</t>
        </is>
      </c>
      <c r="D4" s="2" t="inlineStr">
        <is>
          <t>Secrets</t>
        </is>
      </c>
      <c r="E4" s="2" t="inlineStr">
        <is>
          <t>Yes</t>
        </is>
      </c>
      <c r="F4" s="2" t="inlineStr">
        <is>
          <t>Critical</t>
        </is>
      </c>
      <c r="G4" s="2" t="inlineStr">
        <is>
          <t>None automated</t>
        </is>
      </c>
      <c r="H4" s="2" t="n"/>
    </row>
    <row r="5">
      <c r="A5" s="2" t="inlineStr">
        <is>
          <t>DEP-004</t>
        </is>
      </c>
      <c r="B5" s="2" t="inlineStr">
        <is>
          <t>The Digital Grid</t>
        </is>
      </c>
      <c r="C5" s="2" t="inlineStr">
        <is>
          <t>Infinity</t>
        </is>
      </c>
      <c r="D5" s="2" t="inlineStr">
        <is>
          <t>Auth</t>
        </is>
      </c>
      <c r="E5" s="2" t="inlineStr">
        <is>
          <t>Yes</t>
        </is>
      </c>
      <c r="F5" s="2" t="inlineStr">
        <is>
          <t>Critical</t>
        </is>
      </c>
      <c r="G5" s="2" t="inlineStr">
        <is>
          <t>None automated</t>
        </is>
      </c>
      <c r="H5" s="2" t="n"/>
    </row>
    <row r="6">
      <c r="A6" s="2" t="inlineStr">
        <is>
          <t>DEP-005</t>
        </is>
      </c>
      <c r="B6" s="2" t="inlineStr">
        <is>
          <t>The Digital Grid</t>
        </is>
      </c>
      <c r="C6" s="2" t="inlineStr">
        <is>
          <t>The Spark</t>
        </is>
      </c>
      <c r="D6" s="2" t="inlineStr">
        <is>
          <t>Tool invocation</t>
        </is>
      </c>
      <c r="E6" s="2" t="inlineStr">
        <is>
          <t>No (soft)</t>
        </is>
      </c>
      <c r="F6" s="2" t="inlineStr">
        <is>
          <t>Medium</t>
        </is>
      </c>
      <c r="G6" s="2" t="inlineStr">
        <is>
          <t>Workflow steps that call MCP tools degrade gracefully</t>
        </is>
      </c>
      <c r="H6" s="2" t="inlineStr">
        <is>
          <t>Only workflows with MCP tool steps are affected</t>
        </is>
      </c>
    </row>
    <row r="7">
      <c r="A7" s="2" t="inlineStr">
        <is>
          <t>DEP-006</t>
        </is>
      </c>
      <c r="B7" s="2" t="inlineStr">
        <is>
          <t>Infinity</t>
        </is>
      </c>
      <c r="C7" s="2" t="inlineStr">
        <is>
          <t>The Void</t>
        </is>
      </c>
      <c r="D7" s="2" t="inlineStr">
        <is>
          <t>Secrets</t>
        </is>
      </c>
      <c r="E7" s="2" t="inlineStr">
        <is>
          <t>Yes</t>
        </is>
      </c>
      <c r="F7" s="2" t="inlineStr">
        <is>
          <t>Critical</t>
        </is>
      </c>
      <c r="G7" s="2" t="inlineStr">
        <is>
          <t>None automated</t>
        </is>
      </c>
      <c r="H7" s="2" t="inlineStr">
        <is>
          <t>Infinity cannot sign tokens if it can't reach the vault for its signing secret</t>
        </is>
      </c>
    </row>
    <row r="8">
      <c r="A8" s="2" t="inlineStr">
        <is>
          <t>DEP-007</t>
        </is>
      </c>
      <c r="B8" s="2" t="inlineStr">
        <is>
          <t>The Void</t>
        </is>
      </c>
      <c r="C8" s="2" t="inlineStr">
        <is>
          <t>Infinity</t>
        </is>
      </c>
      <c r="D8" s="2" t="inlineStr">
        <is>
          <t>Identity verification</t>
        </is>
      </c>
      <c r="E8" s="2" t="inlineStr">
        <is>
          <t>Yes</t>
        </is>
      </c>
      <c r="F8" s="2" t="inlineStr">
        <is>
          <t>Critical</t>
        </is>
      </c>
      <c r="G8" s="2" t="inlineStr">
        <is>
          <t>None automated</t>
        </is>
      </c>
      <c r="H8" s="2" t="inlineStr">
        <is>
          <t>Caller identity verification before secret release</t>
        </is>
      </c>
    </row>
    <row r="9">
      <c r="A9" s="2" t="inlineStr">
        <is>
          <t>DEP-008</t>
        </is>
      </c>
      <c r="B9" s="2" t="inlineStr">
        <is>
          <t>The Workshop</t>
        </is>
      </c>
      <c r="C9" s="2" t="inlineStr">
        <is>
          <t>Infinity</t>
        </is>
      </c>
      <c r="D9" s="2" t="inlineStr">
        <is>
          <t>Auth</t>
        </is>
      </c>
      <c r="E9" s="2" t="inlineStr">
        <is>
          <t>Yes</t>
        </is>
      </c>
      <c r="F9" s="2" t="inlineStr">
        <is>
          <t>High</t>
        </is>
      </c>
      <c r="G9" s="2" t="inlineStr">
        <is>
          <t>None automated</t>
        </is>
      </c>
      <c r="H9" s="2" t="n"/>
    </row>
    <row r="10">
      <c r="A10" s="2" t="inlineStr">
        <is>
          <t>DEP-009</t>
        </is>
      </c>
      <c r="B10" s="2" t="inlineStr">
        <is>
          <t>The Workshop</t>
        </is>
      </c>
      <c r="C10" s="2" t="inlineStr">
        <is>
          <t>The Void</t>
        </is>
      </c>
      <c r="D10" s="2" t="inlineStr">
        <is>
          <t>Secrets</t>
        </is>
      </c>
      <c r="E10" s="2" t="inlineStr">
        <is>
          <t>Yes</t>
        </is>
      </c>
      <c r="F10" s="2" t="inlineStr">
        <is>
          <t>High</t>
        </is>
      </c>
      <c r="G10" s="2" t="inlineStr">
        <is>
          <t>None automated</t>
        </is>
      </c>
      <c r="H10" s="2" t="n"/>
    </row>
    <row r="11">
      <c r="A11" s="2" t="inlineStr">
        <is>
          <t>DEP-010</t>
        </is>
      </c>
      <c r="B11" s="2" t="inlineStr">
        <is>
          <t>The Observatory</t>
        </is>
      </c>
      <c r="C11" s="2" t="inlineStr">
        <is>
          <t>Infinity</t>
        </is>
      </c>
      <c r="D11" s="2" t="inlineStr">
        <is>
          <t>Auth</t>
        </is>
      </c>
      <c r="E11" s="2" t="inlineStr">
        <is>
          <t>Yes</t>
        </is>
      </c>
      <c r="F11" s="2" t="inlineStr">
        <is>
          <t>Critical</t>
        </is>
      </c>
      <c r="G11" s="2" t="inlineStr">
        <is>
          <t>None automated</t>
        </is>
      </c>
      <c r="H11" s="2" t="n"/>
    </row>
    <row r="12">
      <c r="A12" s="2" t="inlineStr">
        <is>
          <t>DEP-011</t>
        </is>
      </c>
      <c r="B12" s="2" t="inlineStr">
        <is>
          <t>The Observatory</t>
        </is>
      </c>
      <c r="C12" s="2" t="inlineStr">
        <is>
          <t>(no real DB dependency)</t>
        </is>
      </c>
      <c r="D12" s="2" t="inlineStr">
        <is>
          <t>n/a</t>
        </is>
      </c>
      <c r="E12" s="2" t="inlineStr">
        <is>
          <t>No</t>
        </is>
      </c>
      <c r="F12" s="2" t="inlineStr">
        <is>
          <t>n/a</t>
        </is>
      </c>
      <c r="G12" s="2" t="inlineStr">
        <is>
          <t>n/a</t>
        </is>
      </c>
      <c r="H12" s="2" t="inlineStr">
        <is>
          <t>10_databases.csv DB-OBS-001 was previously listed as a hard dependency — corrected this session: the worker never opens OBSERVATORY_DB_PATH, so it cannot cause a real failure</t>
        </is>
      </c>
    </row>
    <row r="13">
      <c r="A13" s="2" t="inlineStr">
        <is>
          <t>DEP-012</t>
        </is>
      </c>
      <c r="B13" s="2" t="inlineStr">
        <is>
          <t>health-aggregator</t>
        </is>
      </c>
      <c r="C13" s="2" t="inlineStr">
        <is>
          <t>All 6 anchor services</t>
        </is>
      </c>
      <c r="D13" s="2" t="inlineStr">
        <is>
          <t>Health polling</t>
        </is>
      </c>
      <c r="E13" s="2" t="inlineStr">
        <is>
          <t>No</t>
        </is>
      </c>
      <c r="F13" s="2" t="inlineStr">
        <is>
          <t>Low</t>
        </is>
      </c>
      <c r="G13" s="2" t="inlineStr">
        <is>
          <t>Marks a service unhealthy in its own DB; does not trigger automated remediation</t>
        </is>
      </c>
      <c r="H13" s="2" t="inlineStr">
        <is>
          <t>Read-only dependency — a target being down doesn't break health-aggregator itself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55" customWidth="1" min="3" max="3"/>
    <col width="40" customWidth="1" min="4" max="4"/>
    <col width="45" customWidth="1" min="5" max="5"/>
    <col width="45" customWidth="1" min="6" max="6"/>
    <col width="30" customWidth="1" min="7" max="7"/>
    <col width="70" customWidth="1" min="8" max="8"/>
  </cols>
  <sheetData>
    <row r="1">
      <c r="A1" s="6" t="inlineStr">
        <is>
          <t>Service Name</t>
        </is>
      </c>
      <c r="B1" s="6" t="inlineStr">
        <is>
          <t>Data Classification</t>
        </is>
      </c>
      <c r="C1" s="6" t="inlineStr">
        <is>
          <t>Authentication (real)</t>
        </is>
      </c>
      <c r="D1" s="6" t="inlineStr">
        <is>
          <t>Authorization (real)</t>
        </is>
      </c>
      <c r="E1" s="6" t="inlineStr">
        <is>
          <t>Encryption in Transit</t>
        </is>
      </c>
      <c r="F1" s="6" t="inlineStr">
        <is>
          <t>Encryption at Rest</t>
        </is>
      </c>
      <c r="G1" s="6" t="inlineStr">
        <is>
          <t>Audit Logging</t>
        </is>
      </c>
      <c r="H1" s="6" t="inlineStr">
        <is>
          <t>Notes</t>
        </is>
      </c>
    </row>
    <row r="2">
      <c r="A2" s="2" t="inlineStr">
        <is>
          <t>The Spark</t>
        </is>
      </c>
      <c r="B2" s="2" t="inlineStr">
        <is>
          <t>Internal</t>
        </is>
      </c>
      <c r="C2" s="2" t="inlineStr">
        <is>
          <t>Bearer JWT via Depends(get_current_user), auto_error=False so 401 (not 403) on missing/invalid creds</t>
        </is>
      </c>
      <c r="D2" s="2" t="inlineStr">
        <is>
          <t>No OAuth2 scope declared or enforced despite security scheme listing scopes</t>
        </is>
      </c>
      <c r="E2" s="2" t="inlineStr">
        <is>
          <t>Internal HTTP only (no TLS on the tranc3-backend hop)</t>
        </is>
      </c>
      <c r="F2" s="2" t="inlineStr">
        <is>
          <t>N/A (no persistent store)</t>
        </is>
      </c>
      <c r="G2" s="2" t="inlineStr">
        <is>
          <t>Via Observatory audit middleware</t>
        </is>
      </c>
      <c r="H2" s="2" t="inlineStr">
        <is>
          <t>src/auth/facade.py:get_current_user_dep raises 401 uniformly for missing and invalid tokens</t>
        </is>
      </c>
    </row>
    <row r="3">
      <c r="A3" s="2" t="inlineStr">
        <is>
          <t>The Digital Grid</t>
        </is>
      </c>
      <c r="B3" s="2" t="inlineStr">
        <is>
          <t>Internal</t>
        </is>
      </c>
      <c r="C3" s="2" t="inlineStr">
        <is>
          <t>Bearer JWT (same facade)</t>
        </is>
      </c>
      <c r="D3" s="2" t="inlineStr">
        <is>
          <t>internal-auth only via require_internal_auth</t>
        </is>
      </c>
      <c r="E3" s="2" t="inlineStr">
        <is>
          <t>Internal HTTP only</t>
        </is>
      </c>
      <c r="F3" s="2" t="inlineStr">
        <is>
          <t>SQLite file, not encrypted at rest</t>
        </is>
      </c>
      <c r="G3" s="2" t="inlineStr">
        <is>
          <t>Via Observatory audit middleware</t>
        </is>
      </c>
      <c r="H3" s="2" t="n"/>
    </row>
    <row r="4">
      <c r="A4" s="2" t="inlineStr">
        <is>
          <t>Infinity</t>
        </is>
      </c>
      <c r="B4" s="2" t="inlineStr">
        <is>
          <t>Restricted</t>
        </is>
      </c>
      <c r="C4" s="2" t="inlineStr">
        <is>
          <t>OIDC-style authorization_code+PKCE (workers/infinity-auth); refresh_token grant broken (missing table)</t>
        </is>
      </c>
      <c r="D4" s="2" t="inlineStr">
        <is>
          <t>Own JWT issuance/verification; get_current_user requires JWT</t>
        </is>
      </c>
      <c r="E4" s="2" t="inlineStr">
        <is>
          <t>External: Traefik TLS (tlsChallenge/TLS-ALPN-01); internal hop plain HTTP</t>
        </is>
      </c>
      <c r="F4" s="2" t="inlineStr">
        <is>
          <t>SQLite file, path/volume-mount mismatch means data isn't durably backed up</t>
        </is>
      </c>
      <c r="G4" s="2" t="inlineStr">
        <is>
          <t>Via Observatory audit middleware</t>
        </is>
      </c>
      <c r="H4" s="2" t="inlineStr">
        <is>
          <t>authorization_code token is opaque (secrets.token_urlsafe(32)), NOT a JWT — /auth/verify and every other protected route on this service will reject it with 401</t>
        </is>
      </c>
    </row>
    <row r="5">
      <c r="A5" s="2" t="inlineStr">
        <is>
          <t>The Void</t>
        </is>
      </c>
      <c r="B5" s="2" t="inlineStr">
        <is>
          <t>Restricted</t>
        </is>
      </c>
      <c r="C5" s="2" t="inlineStr">
        <is>
          <t>internal-auth only</t>
        </is>
      </c>
      <c r="D5" s="2" t="inlineStr">
        <is>
          <t>Caller identity check against Infinity before secret release</t>
        </is>
      </c>
      <c r="E5" s="2" t="inlineStr">
        <is>
          <t>Internal hop is plain HTTP — no TLS/mTLS configured for this specific in-cluster call</t>
        </is>
      </c>
      <c r="F5" s="2" t="inlineStr">
        <is>
          <t>AES-GCM encrypted values; Shamir-split unseal keys, never stored alongside the encrypted DB</t>
        </is>
      </c>
      <c r="G5" s="2" t="inlineStr">
        <is>
          <t>Via Observatory audit middleware</t>
        </is>
      </c>
      <c r="H5" s="2" t="inlineStr">
        <is>
          <t>GET /secrets/{id} returns metadata only — no endpoint currently returns the decrypted value</t>
        </is>
      </c>
    </row>
    <row r="6">
      <c r="A6" s="2" t="inlineStr">
        <is>
          <t>The Workshop</t>
        </is>
      </c>
      <c r="B6" s="2" t="inlineStr">
        <is>
          <t>Internal</t>
        </is>
      </c>
      <c r="C6" s="2" t="inlineStr">
        <is>
          <t>Forgejo's own auth (registration disabled, sign-in required to view)</t>
        </is>
      </c>
      <c r="D6" s="2" t="inlineStr">
        <is>
          <t>Forgejo RBAC</t>
        </is>
      </c>
      <c r="E6" s="2" t="inlineStr">
        <is>
          <t>External: Traefik TLS (tlsChallenge)</t>
        </is>
      </c>
      <c r="F6" s="2" t="inlineStr">
        <is>
          <t>SQLite (Forgejo's own gitea.db)</t>
        </is>
      </c>
      <c r="G6" s="2" t="inlineStr">
        <is>
          <t>Forgejo's own audit/activity log</t>
        </is>
      </c>
      <c r="H6" s="2" t="inlineStr">
        <is>
          <t>SSH clone bypasses HTTP auth entirely — key-based, published at host port 2222</t>
        </is>
      </c>
    </row>
    <row r="7">
      <c r="A7" s="2" t="inlineStr">
        <is>
          <t>The Observatory</t>
        </is>
      </c>
      <c r="B7" s="2" t="inlineStr">
        <is>
          <t>Restricted</t>
        </is>
      </c>
      <c r="C7" s="2" t="inlineStr">
        <is>
          <t>Bearer JWT (same facade) for query endpoints</t>
        </is>
      </c>
      <c r="D7" s="2" t="inlineStr">
        <is>
          <t>internal-auth</t>
        </is>
      </c>
      <c r="E7" s="2" t="inlineStr">
        <is>
          <t>Internal HTTP only</t>
        </is>
      </c>
      <c r="F7" s="2" t="inlineStr">
        <is>
          <t>None — in-memory deque only, lost on restart</t>
        </is>
      </c>
      <c r="G7" s="2" t="inlineStr">
        <is>
          <t>Self-referential — Observatory IS the audit log, but not durably</t>
        </is>
      </c>
      <c r="H7" s="2" t="inlineStr">
        <is>
          <t>OBSERVATORY_DB_PATH configured but never opened; treat any retention/compliance claim about this data surviving a restart as aspirational</t>
        </is>
      </c>
    </row>
    <row r="8">
      <c r="A8" s="2" t="inlineStr">
        <is>
          <t>Traefik</t>
        </is>
      </c>
      <c r="B8" s="2" t="inlineStr">
        <is>
          <t>Public-facing</t>
        </is>
      </c>
      <c r="C8" s="2" t="inlineStr">
        <is>
          <t>None for the ingress itself; per-router labels</t>
        </is>
      </c>
      <c r="D8" s="2" t="inlineStr">
        <is>
          <t>N/A (routing layer)</t>
        </is>
      </c>
      <c r="E8" s="2" t="inlineStr">
        <is>
          <t>External TLS via tlsChallenge; internal mTLS TLSOption on :8443 requiring client certs signed by internal-ca.pem</t>
        </is>
      </c>
      <c r="F8" s="2" t="inlineStr">
        <is>
          <t>N/A</t>
        </is>
      </c>
      <c r="G8" s="2" t="inlineStr">
        <is>
          <t>accessLog.format=json with header allowlist (X-Request-ID, X-Forwarded-For, X-Device-Posture kept)</t>
        </is>
      </c>
      <c r="H8" s="2" t="inlineStr">
        <is>
          <t>Dashboard (api.dashboard) enabled but insecure=false and only reachable via a .local Host rule — not exposed publicly by design</t>
        </is>
      </c>
    </row>
    <row r="9">
      <c r="A9" s="2" t="inlineStr">
        <is>
          <t>health-aggregator</t>
        </is>
      </c>
      <c r="B9" s="2" t="inlineStr">
        <is>
          <t>Internal</t>
        </is>
      </c>
      <c r="C9" s="2" t="inlineStr">
        <is>
          <t>X-Internal-Secret header (INTERNAL_SECRET env, optional)</t>
        </is>
      </c>
      <c r="D9" s="2" t="inlineStr">
        <is>
          <t>n/a</t>
        </is>
      </c>
      <c r="E9" s="2" t="inlineStr">
        <is>
          <t>Internal HTTP only</t>
        </is>
      </c>
      <c r="F9" s="2" t="inlineStr">
        <is>
          <t>SQLite (health check history)</t>
        </is>
      </c>
      <c r="G9" s="2" t="inlineStr">
        <is>
          <t>Own SQLite history, not routed through Observatory</t>
        </is>
      </c>
      <c r="H9" s="2" t="inlineStr">
        <is>
          <t>If INTERNAL_SECRET is unset, /services management endpoints are unauthenticated on the internal network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26" customWidth="1" min="3" max="3"/>
    <col width="42" customWidth="1" min="4" max="4"/>
    <col width="40" customWidth="1" min="5" max="5"/>
    <col width="32" customWidth="1" min="6" max="6"/>
    <col width="26" customWidth="1" min="7" max="7"/>
    <col width="65" customWidth="1" min="8" max="8"/>
  </cols>
  <sheetData>
    <row r="1">
      <c r="A1" s="6" t="inlineStr">
        <is>
          <t>Service Name</t>
        </is>
      </c>
      <c r="B1" s="6" t="inlineStr">
        <is>
          <t>Real Code Path</t>
        </is>
      </c>
      <c r="C1" s="6" t="inlineStr">
        <is>
          <t>Runtime</t>
        </is>
      </c>
      <c r="D1" s="6" t="inlineStr">
        <is>
          <t>Deployment Method (real)</t>
        </is>
      </c>
      <c r="E1" s="6" t="inlineStr">
        <is>
          <t>Rollback Method (real)</t>
        </is>
      </c>
      <c r="F1" s="6" t="inlineStr">
        <is>
          <t>Health Check</t>
        </is>
      </c>
      <c r="G1" s="6" t="inlineStr">
        <is>
          <t>Last Verified Commit (this session)</t>
        </is>
      </c>
      <c r="H1" s="6" t="inlineStr">
        <is>
          <t>Notes</t>
        </is>
      </c>
    </row>
    <row r="2">
      <c r="A2" s="2" t="inlineStr">
        <is>
          <t>The Spark</t>
        </is>
      </c>
      <c r="B2" s="2" t="inlineStr">
        <is>
          <t>src/mcp/</t>
        </is>
      </c>
      <c r="C2" s="2" t="inlineStr">
        <is>
          <t>Python 3.11 / FastAPI 0.136.3</t>
        </is>
      </c>
      <c r="D2" s="2" t="inlineStr">
        <is>
          <t>Part of tranc3-backend — Fly.io (legacy) or manual docker compose</t>
        </is>
      </c>
      <c r="E2" s="2" t="inlineStr">
        <is>
          <t>git checkout &lt;sha&gt; + docker compose up -d --build (manual, no automation)</t>
        </is>
      </c>
      <c r="F2" s="2" t="inlineStr">
        <is>
          <t>/mcp/health</t>
        </is>
      </c>
      <c r="G2" s="2" t="inlineStr">
        <is>
          <t>93d87d3e (2026-06-30)</t>
        </is>
      </c>
      <c r="H2" s="2" t="inlineStr">
        <is>
          <t>No dedicated CI artifact/pipeline run tracked yet for this path — 06_service_deployments.csv leaves those columns blank rather than fabricated</t>
        </is>
      </c>
    </row>
    <row r="3">
      <c r="A3" s="2" t="inlineStr">
        <is>
          <t>The Digital Grid</t>
        </is>
      </c>
      <c r="B3" s="2" t="inlineStr">
        <is>
          <t>src/workflow/, workers/workflow-engine-service/</t>
        </is>
      </c>
      <c r="C3" s="2" t="inlineStr">
        <is>
          <t>Python 3.11 / FastAPI 0.136.3</t>
        </is>
      </c>
      <c r="D3" s="2" t="inlineStr">
        <is>
          <t>Manual docker compose up -d --build</t>
        </is>
      </c>
      <c r="E3" s="2" t="inlineStr">
        <is>
          <t>Same manual pattern</t>
        </is>
      </c>
      <c r="F3" s="2" t="inlineStr">
        <is>
          <t>/health</t>
        </is>
      </c>
      <c r="G3" s="2" t="inlineStr">
        <is>
          <t>df4ed5e5 (2026-06-25)</t>
        </is>
      </c>
      <c r="H3" s="2" t="n"/>
    </row>
    <row r="4">
      <c r="A4" s="2" t="inlineStr">
        <is>
          <t>Infinity</t>
        </is>
      </c>
      <c r="B4" s="2" t="inlineStr">
        <is>
          <t>workers/infinity-auth/</t>
        </is>
      </c>
      <c r="C4" s="2" t="inlineStr">
        <is>
          <t>Python 3.11 / FastAPI 0.136.3</t>
        </is>
      </c>
      <c r="D4" s="2" t="inlineStr">
        <is>
          <t>Manual docker compose up -d --build</t>
        </is>
      </c>
      <c r="E4" s="2" t="inlineStr">
        <is>
          <t>Same manual pattern</t>
        </is>
      </c>
      <c r="F4" s="2" t="inlineStr">
        <is>
          <t>/health</t>
        </is>
      </c>
      <c r="G4" s="2" t="inlineStr">
        <is>
          <t>a3df9128 (2026-07-12)</t>
        </is>
      </c>
      <c r="H4" s="2" t="n"/>
    </row>
    <row r="5">
      <c r="A5" s="2" t="inlineStr">
        <is>
          <t>The Void</t>
        </is>
      </c>
      <c r="B5" s="2" t="inlineStr">
        <is>
          <t>workers/vault-service/</t>
        </is>
      </c>
      <c r="C5" s="2" t="inlineStr">
        <is>
          <t>Python 3.11 / FastAPI 0.136.3</t>
        </is>
      </c>
      <c r="D5" s="2" t="inlineStr">
        <is>
          <t>Manual docker compose up -d --build (in-flight CF Worker migration)</t>
        </is>
      </c>
      <c r="E5" s="2" t="inlineStr">
        <is>
          <t>Same manual pattern</t>
        </is>
      </c>
      <c r="F5" s="2" t="inlineStr">
        <is>
          <t>/health</t>
        </is>
      </c>
      <c r="G5" s="2" t="inlineStr">
        <is>
          <t>d06f3b13 (2026-06-29)</t>
        </is>
      </c>
      <c r="H5" s="2" t="inlineStr">
        <is>
          <t>Migrating from cloudflare/infinity-void/</t>
        </is>
      </c>
    </row>
    <row r="6">
      <c r="A6" s="2" t="inlineStr">
        <is>
          <t>The Workshop</t>
        </is>
      </c>
      <c r="B6" s="2" t="inlineStr">
        <is>
          <t>deploy/forgejo/</t>
        </is>
      </c>
      <c r="C6" s="2" t="inlineStr">
        <is>
          <t>Forgejo (Go), image codeberg.org/forgejo/forgejo:7</t>
        </is>
      </c>
      <c r="D6" s="2" t="inlineStr">
        <is>
          <t>deploy/forgejo/setup.sh + docker compose</t>
        </is>
      </c>
      <c r="E6" s="2" t="inlineStr">
        <is>
          <t>deploy/forgejo/recover.sh (topology-aware, real dedicated runbook)</t>
        </is>
      </c>
      <c r="F6" s="2" t="inlineStr">
        <is>
          <t>wget http://localhost:3000/-/health</t>
        </is>
      </c>
      <c r="G6" s="2" t="inlineStr">
        <is>
          <t>8fbc80b8 (2026-07-12)</t>
        </is>
      </c>
      <c r="H6" s="2" t="inlineStr">
        <is>
          <t>The only anchor service with a genuinely dedicated recovery runbook (deploy/forgejo/RUNBOOK.md)</t>
        </is>
      </c>
    </row>
    <row r="7">
      <c r="A7" s="2" t="inlineStr">
        <is>
          <t>The Observatory</t>
        </is>
      </c>
      <c r="B7" s="2" t="inlineStr">
        <is>
          <t>workers/observatory/</t>
        </is>
      </c>
      <c r="C7" s="2" t="inlineStr">
        <is>
          <t>Python 3.11 / FastAPI 0.136.3</t>
        </is>
      </c>
      <c r="D7" s="2" t="inlineStr">
        <is>
          <t>Manual docker compose up -d --build</t>
        </is>
      </c>
      <c r="E7" s="2" t="inlineStr">
        <is>
          <t>Same manual pattern</t>
        </is>
      </c>
      <c r="F7" s="2" t="inlineStr">
        <is>
          <t>/health</t>
        </is>
      </c>
      <c r="G7" s="2" t="inlineStr">
        <is>
          <t>d06f3b13 (2026-06-29)</t>
        </is>
      </c>
      <c r="H7" s="2" t="inlineStr">
        <is>
          <t>Dockerfile CMD/HEALTHCHECK fixed this session to honor OBSERVATORY_PORT instead of hardcoding 8040</t>
        </is>
      </c>
    </row>
    <row r="8">
      <c r="A8" s="2" t="inlineStr">
        <is>
          <t>Traefik</t>
        </is>
      </c>
      <c r="B8" s="2" t="inlineStr">
        <is>
          <t>docker-compose.production.yml, infra/traefik/traefik.yml</t>
        </is>
      </c>
      <c r="C8" s="2" t="inlineStr">
        <is>
          <t>traefik:v3.0 image</t>
        </is>
      </c>
      <c r="D8" s="2" t="inlineStr">
        <is>
          <t>docker compose (part of core infra stack)</t>
        </is>
      </c>
      <c r="E8" s="2" t="inlineStr">
        <is>
          <t>docker compose restart traefik / redeploy image tag</t>
        </is>
      </c>
      <c r="F8" s="2" t="inlineStr">
        <is>
          <t>traefik healthcheck --ping (CLI probe, not an HTTP path)</t>
        </is>
      </c>
      <c r="G8" s="2" t="inlineStr">
        <is>
          <t>--ping=true added this session (182b52b lineage)</t>
        </is>
      </c>
      <c r="H8" s="2" t="inlineStr">
        <is>
          <t>Compose healthcheck was silently failing before this fix — --ping was never enabled</t>
        </is>
      </c>
    </row>
    <row r="9">
      <c r="A9" s="2" t="inlineStr">
        <is>
          <t>health-aggregator</t>
        </is>
      </c>
      <c r="B9" s="2" t="inlineStr">
        <is>
          <t>workers/health-aggregator/</t>
        </is>
      </c>
      <c r="C9" s="2" t="inlineStr">
        <is>
          <t>Python 3.11 / FastAPI 0.136.3</t>
        </is>
      </c>
      <c r="D9" s="2" t="inlineStr">
        <is>
          <t>Manual docker compose up -d --build</t>
        </is>
      </c>
      <c r="E9" s="2" t="inlineStr">
        <is>
          <t>Same manual pattern</t>
        </is>
      </c>
      <c r="F9" s="2" t="inlineStr">
        <is>
          <t>/health</t>
        </is>
      </c>
      <c r="G9" s="2" t="inlineStr">
        <is>
          <t>0673555 (2026-07-16, this session)</t>
        </is>
      </c>
      <c r="H9" s="2" t="inlineStr">
        <is>
          <t>SERVICE_REGISTRY port fix and scripts/post_deploy_verify.py fix landed together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55" customWidth="1" min="4" max="4"/>
    <col width="75" customWidth="1" min="5" max="5"/>
  </cols>
  <sheetData>
    <row r="1">
      <c r="A1" s="6" t="inlineStr">
        <is>
          <t>Change ID</t>
        </is>
      </c>
      <c r="B1" s="6" t="inlineStr">
        <is>
          <t>Date (UTC)</t>
        </is>
      </c>
      <c r="C1" s="6" t="inlineStr">
        <is>
          <t>Commit</t>
        </is>
      </c>
      <c r="D1" s="6" t="inlineStr">
        <is>
          <t>Summary</t>
        </is>
      </c>
      <c r="E1" s="6" t="inlineStr">
        <is>
          <t>Real Impact</t>
        </is>
      </c>
    </row>
    <row r="2">
      <c r="A2" s="2" t="inlineStr">
        <is>
          <t>CHG-001</t>
        </is>
      </c>
      <c r="B2" s="2" t="inlineStr">
        <is>
          <t>2026-07-16T18:29:43</t>
        </is>
      </c>
      <c r="C2" s="2" t="inlineStr">
        <is>
          <t>5c18133</t>
        </is>
      </c>
      <c r="D2" s="2" t="inlineStr">
        <is>
          <t>Fixed remaining CMDB/docs bugs found in cubic-dev-ai review batch</t>
        </is>
      </c>
      <c r="E2" s="2" t="inlineStr">
        <is>
          <t>Corrected API routes, engine types, network subnet, Forgejo SSH port, Traefik health mechanism across the EA workbook</t>
        </is>
      </c>
    </row>
    <row r="3">
      <c r="A3" s="2" t="inlineStr">
        <is>
          <t>CHG-002</t>
        </is>
      </c>
      <c r="B3" s="2" t="inlineStr">
        <is>
          <t>2026-07-16T18:43:35</t>
        </is>
      </c>
      <c r="C3" s="2" t="inlineStr">
        <is>
          <t>7b346f5</t>
        </is>
      </c>
      <c r="D3" s="2" t="inlineStr">
        <is>
          <t>Fixed the real Traefik ping bug + 15 more CMDB findings</t>
        </is>
      </c>
      <c r="E3" s="2" t="inlineStr">
        <is>
          <t>Added --ping=true to Traefik's command args — the compose healthcheck was permanently failing before this</t>
        </is>
      </c>
    </row>
    <row r="4">
      <c r="A4" s="2" t="inlineStr">
        <is>
          <t>CHG-003</t>
        </is>
      </c>
      <c r="B4" s="2" t="inlineStr">
        <is>
          <t>2026-07-16T18:53:04</t>
        </is>
      </c>
      <c r="C4" s="2" t="inlineStr">
        <is>
          <t>01efe9e</t>
        </is>
      </c>
      <c r="D4" s="2" t="inlineStr">
        <is>
          <t>Fixed health-aggregator port drift; wired EA workbook into the live system</t>
        </is>
      </c>
      <c r="E4" s="2" t="inlineStr">
        <is>
          <t>Corrected 11 P3-block services on wrong ports in health-aggregator's SERVICE_REGISTRY; added CI/pre-commit CSV validation; added register_ea_workbook_services.py</t>
        </is>
      </c>
    </row>
    <row r="5">
      <c r="A5" s="2" t="inlineStr">
        <is>
          <t>CHG-004</t>
        </is>
      </c>
      <c r="B5" s="2" t="inlineStr">
        <is>
          <t>2026-07-16T18:57:24</t>
        </is>
      </c>
      <c r="C5" s="2" t="inlineStr">
        <is>
          <t>e9891aa</t>
        </is>
      </c>
      <c r="D5" s="2" t="inlineStr">
        <is>
          <t>Fixed deployment chronology</t>
        </is>
      </c>
      <c r="E5" s="2" t="inlineStr">
        <is>
          <t>6 anchor deployment rows had DeploymentDate before their own commit's real timestamp — corrected using git show</t>
        </is>
      </c>
    </row>
    <row r="6">
      <c r="A6" s="2" t="inlineStr">
        <is>
          <t>CHG-005</t>
        </is>
      </c>
      <c r="B6" s="2" t="inlineStr">
        <is>
          <t>2026-07-16T19:13:17</t>
        </is>
      </c>
      <c r="C6" s="2" t="inlineStr">
        <is>
          <t>0673555</t>
        </is>
      </c>
      <c r="D6" s="2" t="inlineStr">
        <is>
          <t>Fixed real DNS gap + second port-drift bug + script robustness</t>
        </is>
      </c>
      <c r="E6" s="2" t="inlineStr">
        <is>
          <t>Found the identical port-mapping bug duplicated in scripts/post_deploy_verify.py; found the workbook was missing 2 of 4 real Terraform-provisioned DNS records</t>
        </is>
      </c>
    </row>
    <row r="7">
      <c r="A7" s="2" t="inlineStr">
        <is>
          <t>CHG-006</t>
        </is>
      </c>
      <c r="B7" s="2" t="inlineStr">
        <is>
          <t>2026-07-16T23:52:20</t>
        </is>
      </c>
      <c r="C7" s="2" t="inlineStr">
        <is>
          <t>182b52b</t>
        </is>
      </c>
      <c r="D7" s="2" t="inlineStr">
        <is>
          <t>Fixed ACME challenge type + the-workshop CNAME routing claim</t>
        </is>
      </c>
      <c r="E7" s="2" t="inlineStr">
        <is>
          <t>Corrected HTTP-01 to the real tlsChallenge/TLS-ALPN-01; discovered the-workshop CNAME has no matching Traefik host rule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45" customWidth="1" min="3" max="3"/>
    <col width="20" customWidth="1" min="4" max="4"/>
    <col width="65" customWidth="1" min="5" max="5"/>
  </cols>
  <sheetData>
    <row r="1">
      <c r="A1" s="6" t="inlineStr">
        <is>
          <t>Service Name</t>
        </is>
      </c>
      <c r="B1" s="6" t="inlineStr">
        <is>
          <t>Replaced By</t>
        </is>
      </c>
      <c r="C1" s="6" t="inlineStr">
        <is>
          <t>Reason</t>
        </is>
      </c>
      <c r="D1" s="6" t="inlineStr">
        <is>
          <t>Data Migration Done</t>
        </is>
      </c>
      <c r="E1" s="6" t="inlineStr">
        <is>
          <t>Notes</t>
        </is>
      </c>
    </row>
    <row r="2">
      <c r="A2" s="2" t="inlineStr">
        <is>
          <t>infinity-void (Cloudflare Worker)</t>
        </is>
      </c>
      <c r="B2" s="2" t="inlineStr">
        <is>
          <t>The Void / vault-service (self-hosted)</t>
        </is>
      </c>
      <c r="C2" s="2" t="inlineStr">
        <is>
          <t>Zero-cost self-hosted architecture migration (CLAUDE.md)</t>
        </is>
      </c>
      <c r="D2" s="2" t="inlineStr">
        <is>
          <t>In Progress</t>
        </is>
      </c>
      <c r="E2" s="2" t="inlineStr">
        <is>
          <t>cloudflare/infinity-void/ still exists in-repo as the legacy source; workers/vault-service/ is the real self-hosted replacement, StatusCode=Building</t>
        </is>
      </c>
    </row>
    <row r="3">
      <c r="A3" s="2" t="inlineStr">
        <is>
          <t>tranc3-api-gateway (Cloudflare Worker)</t>
        </is>
      </c>
      <c r="B3" s="2" t="inlineStr">
        <is>
          <t>Traefik (self-hosted)</t>
        </is>
      </c>
      <c r="C3" s="2" t="inlineStr">
        <is>
          <t>Same zero-cost migration</t>
        </is>
      </c>
      <c r="D3" s="2" t="inlineStr">
        <is>
          <t>In Progress</t>
        </is>
      </c>
      <c r="E3" s="2" t="inlineStr">
        <is>
          <t>cloudflare/trancendos-api-gateway/ still exists; api.trancendos.com now routes through Traefik per Terraform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5" customWidth="1" min="3" max="3"/>
    <col width="12" customWidth="1" min="4" max="4"/>
    <col width="14" customWidth="1" min="5" max="5"/>
  </cols>
  <sheetData>
    <row r="1">
      <c r="A1" s="1" t="inlineStr">
        <is>
          <t>Executive Dashboard — Trancendos Master Service Matrix</t>
        </is>
      </c>
    </row>
    <row r="3">
      <c r="A3" s="3" t="inlineStr">
        <is>
          <t>Component Status Summary</t>
        </is>
      </c>
      <c r="D3" s="3" t="inlineStr">
        <is>
          <t>Dependencies by Failure Impact</t>
        </is>
      </c>
    </row>
    <row r="4">
      <c r="A4" s="6" t="inlineStr">
        <is>
          <t>Status</t>
        </is>
      </c>
      <c r="B4" s="6" t="inlineStr">
        <is>
          <t>Count</t>
        </is>
      </c>
      <c r="C4" s="6" t="n"/>
      <c r="D4" s="6" t="inlineStr">
        <is>
          <t>Impact</t>
        </is>
      </c>
      <c r="E4" s="6" t="inlineStr">
        <is>
          <t>Count</t>
        </is>
      </c>
    </row>
    <row r="5">
      <c r="A5" t="inlineStr">
        <is>
          <t>Live</t>
        </is>
      </c>
      <c r="B5">
        <f>COUNTIF(Services!H2:H100,"Live")</f>
        <v/>
      </c>
      <c r="D5" t="inlineStr">
        <is>
          <t>Critical</t>
        </is>
      </c>
      <c r="E5">
        <f>COUNTIF(Dependencies!F2:F100,"Critical")</f>
        <v/>
      </c>
    </row>
    <row r="6">
      <c r="A6" t="inlineStr">
        <is>
          <t>Building</t>
        </is>
      </c>
      <c r="B6">
        <f>COUNTIF(Services!H2:H100,"Building")</f>
        <v/>
      </c>
      <c r="D6" t="inlineStr">
        <is>
          <t>High</t>
        </is>
      </c>
      <c r="E6">
        <f>COUNTIF(Dependencies!F2:F100,"High")</f>
        <v/>
      </c>
    </row>
    <row r="7">
      <c r="A7" t="inlineStr">
        <is>
          <t>Deploying</t>
        </is>
      </c>
      <c r="B7">
        <f>COUNTIF(Services!H2:H100,"Deploying")</f>
        <v/>
      </c>
      <c r="D7" t="inlineStr">
        <is>
          <t>Medium</t>
        </is>
      </c>
      <c r="E7">
        <f>COUNTIF(Dependencies!F2:F100,"Medium")</f>
        <v/>
      </c>
    </row>
    <row r="8">
      <c r="A8" t="inlineStr">
        <is>
          <t>Planned</t>
        </is>
      </c>
      <c r="B8">
        <f>COUNTIF(Services!H2:H100,"Planned")</f>
        <v/>
      </c>
      <c r="D8" t="inlineStr">
        <is>
          <t>Low</t>
        </is>
      </c>
      <c r="E8">
        <f>COUNTIF(Dependencies!F2:F100,"Low")</f>
        <v/>
      </c>
    </row>
    <row r="9">
      <c r="A9" t="inlineStr">
        <is>
          <t>Failed</t>
        </is>
      </c>
      <c r="B9">
        <f>COUNTIF(Services!H2:H100,"Failed")</f>
        <v/>
      </c>
    </row>
    <row r="10">
      <c r="A10" t="inlineStr">
        <is>
          <t>Retired</t>
        </is>
      </c>
      <c r="B10">
        <f>COUNTIF(Services!H2:H100,"Retired")</f>
        <v/>
      </c>
    </row>
    <row r="12">
      <c r="A12" s="5" t="inlineStr">
        <is>
          <t>Executive Action Summary (real, from Improvement Roadmap)</t>
        </is>
      </c>
    </row>
    <row r="13">
      <c r="A13" s="6" t="inlineStr">
        <is>
          <t>Metric</t>
        </is>
      </c>
      <c r="B13" s="6" t="inlineStr">
        <is>
          <t>Value</t>
        </is>
      </c>
      <c r="C13" s="6" t="inlineStr">
        <is>
          <t>Interpretation</t>
        </is>
      </c>
    </row>
    <row r="14">
      <c r="A14" t="inlineStr">
        <is>
          <t>Real open defects (P1)</t>
        </is>
      </c>
      <c r="B14">
        <f>COUNTIFS('Improvement Roadmap'!F2:F100,"P1",'Improvement Roadmap'!G2:G100,"Not started")</f>
        <v/>
      </c>
      <c r="C14" s="2" t="inlineStr">
        <is>
          <t>Highest-priority real gaps — fix before claiming full production readiness</t>
        </is>
      </c>
    </row>
    <row r="15">
      <c r="A15" t="inlineStr">
        <is>
          <t>Real open defects (P2)</t>
        </is>
      </c>
      <c r="B15">
        <f>COUNTIFS('Improvement Roadmap'!F2:F100,"P2",'Improvement Roadmap'!G2:G100,"Not started")</f>
        <v/>
      </c>
      <c r="C15" s="2" t="inlineStr">
        <is>
          <t>Should be scheduled but not urgent</t>
        </is>
      </c>
    </row>
    <row r="16">
      <c r="A16" t="inlineStr">
        <is>
          <t>Components covered</t>
        </is>
      </c>
      <c r="B16">
        <f>COUNTA(Services!A2:A100)</f>
        <v/>
      </c>
      <c r="C16" s="2" t="inlineStr">
        <is>
          <t>Out of ~90 real services documented in CLAUDE.md's worker map</t>
        </is>
      </c>
    </row>
    <row r="17">
      <c r="A17" t="inlineStr">
        <is>
          <t>Deployment automation gap</t>
        </is>
      </c>
      <c r="B17">
        <f>COUNTIF('Improvement Roadmap'!A2:A100,"Automation")</f>
        <v/>
      </c>
      <c r="C17" s="2" t="inlineStr">
        <is>
          <t>Manual docker compose deploys remain the norm — see Deployment sheet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6" customWidth="1" min="4" max="4"/>
    <col width="16" customWidth="1" min="5" max="5"/>
    <col width="18" customWidth="1" min="6" max="6"/>
  </cols>
  <sheetData>
    <row r="1">
      <c r="A1" s="5" t="inlineStr">
        <is>
          <t>All Workers — Broad Structural Scan (not deep-verified like the 8 anchors above)</t>
        </is>
      </c>
    </row>
    <row r="2" ht="45" customHeight="1">
      <c r="A2" s="2" t="inlineStr">
        <is>
          <t>Mechanically checked against real files: presence of worker.py/Dockerfile, registration in docker-compose.production.yml, real routed port there, and whether a /health string appears in the source. This is a structural first pass across all real workers/* directories — treat rows here as a starting point for the same deep-verification the 8 anchor components received, not as equivalent confidence.</t>
        </is>
      </c>
    </row>
    <row r="4">
      <c r="A4" s="6" t="inlineStr">
        <is>
          <t>Worker Directory</t>
        </is>
      </c>
      <c r="B4" s="6" t="inlineStr">
        <is>
          <t>Has worker.py</t>
        </is>
      </c>
      <c r="C4" s="6" t="inlineStr">
        <is>
          <t>Has Dockerfile</t>
        </is>
      </c>
      <c r="D4" s="6" t="inlineStr">
        <is>
          <t>In docker-compose.production.yml</t>
        </is>
      </c>
      <c r="E4" s="6" t="inlineStr">
        <is>
          <t>Real Compose Port</t>
        </is>
      </c>
      <c r="F4" s="6" t="inlineStr">
        <is>
          <t>Has /health Reference</t>
        </is>
      </c>
    </row>
    <row r="5">
      <c r="A5" t="inlineStr">
        <is>
          <t>analytics-service</t>
        </is>
      </c>
      <c r="B5" t="b">
        <v>1</v>
      </c>
      <c r="C5" t="b">
        <v>1</v>
      </c>
      <c r="D5" t="b">
        <v>1</v>
      </c>
      <c r="E5" t="inlineStr"/>
      <c r="F5" t="b">
        <v>1</v>
      </c>
    </row>
    <row r="6">
      <c r="A6" t="inlineStr">
        <is>
          <t>api-gateway</t>
        </is>
      </c>
      <c r="B6" t="b">
        <v>1</v>
      </c>
      <c r="C6" t="b">
        <v>1</v>
      </c>
      <c r="D6" t="b">
        <v>1</v>
      </c>
      <c r="E6" t="inlineStr">
        <is>
          <t>8003</t>
        </is>
      </c>
      <c r="F6" t="b">
        <v>1</v>
      </c>
    </row>
    <row r="7">
      <c r="A7" t="inlineStr">
        <is>
          <t>artifactory-service</t>
        </is>
      </c>
      <c r="B7" t="b">
        <v>1</v>
      </c>
      <c r="C7" t="b">
        <v>1</v>
      </c>
      <c r="D7" t="b">
        <v>1</v>
      </c>
      <c r="E7" t="inlineStr">
        <is>
          <t>8047</t>
        </is>
      </c>
      <c r="F7" t="b">
        <v>1</v>
      </c>
    </row>
    <row r="8">
      <c r="A8" t="inlineStr">
        <is>
          <t>audit-service</t>
        </is>
      </c>
      <c r="B8" t="b">
        <v>1</v>
      </c>
      <c r="C8" t="b">
        <v>1</v>
      </c>
      <c r="D8" t="b">
        <v>1</v>
      </c>
      <c r="E8" t="inlineStr"/>
      <c r="F8" t="b">
        <v>1</v>
      </c>
    </row>
    <row r="9">
      <c r="A9" t="inlineStr">
        <is>
          <t>backup-service</t>
        </is>
      </c>
      <c r="B9" t="b">
        <v>1</v>
      </c>
      <c r="C9" t="b">
        <v>1</v>
      </c>
      <c r="D9" t="b">
        <v>1</v>
      </c>
      <c r="E9" t="inlineStr">
        <is>
          <t>8078</t>
        </is>
      </c>
      <c r="F9" t="b">
        <v>1</v>
      </c>
    </row>
    <row r="10">
      <c r="A10" t="inlineStr">
        <is>
          <t>basement</t>
        </is>
      </c>
      <c r="B10" t="b">
        <v>1</v>
      </c>
      <c r="C10" t="b">
        <v>1</v>
      </c>
      <c r="D10" t="b">
        <v>1</v>
      </c>
      <c r="E10" t="inlineStr">
        <is>
          <t>8068</t>
        </is>
      </c>
      <c r="F10" t="b">
        <v>1</v>
      </c>
    </row>
    <row r="11">
      <c r="A11" t="inlineStr">
        <is>
          <t>blender-worker</t>
        </is>
      </c>
      <c r="B11" t="b">
        <v>1</v>
      </c>
      <c r="C11" t="b">
        <v>1</v>
      </c>
      <c r="D11" t="b">
        <v>1</v>
      </c>
      <c r="E11" t="inlineStr">
        <is>
          <t>8050</t>
        </is>
      </c>
      <c r="F11" t="b">
        <v>1</v>
      </c>
    </row>
    <row r="12">
      <c r="A12" t="inlineStr">
        <is>
          <t>bullmq-queue-service</t>
        </is>
      </c>
      <c r="B12" t="b">
        <v>0</v>
      </c>
      <c r="C12" t="b">
        <v>1</v>
      </c>
      <c r="D12" t="b">
        <v>1</v>
      </c>
      <c r="E12" t="inlineStr">
        <is>
          <t>8092</t>
        </is>
      </c>
      <c r="F12" t="b">
        <v>0</v>
      </c>
    </row>
    <row r="13">
      <c r="A13" t="inlineStr">
        <is>
          <t>cache-service</t>
        </is>
      </c>
      <c r="B13" t="b">
        <v>1</v>
      </c>
      <c r="C13" t="b">
        <v>1</v>
      </c>
      <c r="D13" t="b">
        <v>1</v>
      </c>
      <c r="E13" t="inlineStr"/>
      <c r="F13" t="b">
        <v>1</v>
      </c>
    </row>
    <row r="14">
      <c r="A14" t="inlineStr">
        <is>
          <t>cdn-service</t>
        </is>
      </c>
      <c r="B14" t="b">
        <v>1</v>
      </c>
      <c r="C14" t="b">
        <v>1</v>
      </c>
      <c r="D14" t="b">
        <v>1</v>
      </c>
      <c r="E14" t="inlineStr"/>
      <c r="F14" t="b">
        <v>1</v>
      </c>
    </row>
    <row r="15">
      <c r="A15" t="inlineStr">
        <is>
          <t>chaos-party</t>
        </is>
      </c>
      <c r="B15" t="b">
        <v>1</v>
      </c>
      <c r="C15" t="b">
        <v>1</v>
      </c>
      <c r="D15" t="b">
        <v>1</v>
      </c>
      <c r="E15" t="inlineStr">
        <is>
          <t>8079</t>
        </is>
      </c>
      <c r="F15" t="b">
        <v>1</v>
      </c>
    </row>
    <row r="16">
      <c r="A16" t="inlineStr">
        <is>
          <t>config-service</t>
        </is>
      </c>
      <c r="B16" t="b">
        <v>1</v>
      </c>
      <c r="C16" t="b">
        <v>1</v>
      </c>
      <c r="D16" t="b">
        <v>1</v>
      </c>
      <c r="E16" t="inlineStr"/>
      <c r="F16" t="b">
        <v>1</v>
      </c>
    </row>
    <row r="17">
      <c r="A17" t="inlineStr">
        <is>
          <t>cranbania</t>
        </is>
      </c>
      <c r="B17" t="b">
        <v>0</v>
      </c>
      <c r="C17" t="b">
        <v>0</v>
      </c>
      <c r="D17" t="b">
        <v>1</v>
      </c>
      <c r="E17" t="inlineStr">
        <is>
          <t>8071</t>
        </is>
      </c>
      <c r="F17" t="b">
        <v>0</v>
      </c>
    </row>
    <row r="18">
      <c r="A18" t="inlineStr">
        <is>
          <t>cron-service</t>
        </is>
      </c>
      <c r="B18" t="b">
        <v>1</v>
      </c>
      <c r="C18" t="b">
        <v>1</v>
      </c>
      <c r="D18" t="b">
        <v>1</v>
      </c>
      <c r="E18" t="inlineStr"/>
      <c r="F18" t="b">
        <v>1</v>
      </c>
    </row>
    <row r="19">
      <c r="A19" t="inlineStr">
        <is>
          <t>cryptex</t>
        </is>
      </c>
      <c r="B19" t="b">
        <v>1</v>
      </c>
      <c r="C19" t="b">
        <v>1</v>
      </c>
      <c r="D19" t="b">
        <v>1</v>
      </c>
      <c r="E19" t="inlineStr"/>
      <c r="F19" t="b">
        <v>0</v>
      </c>
    </row>
    <row r="20">
      <c r="A20" t="inlineStr">
        <is>
          <t>deepagents-orchestrator-service</t>
        </is>
      </c>
      <c r="B20" t="b">
        <v>1</v>
      </c>
      <c r="C20" t="b">
        <v>1</v>
      </c>
      <c r="D20" t="b">
        <v>1</v>
      </c>
      <c r="E20" t="inlineStr">
        <is>
          <t>8037</t>
        </is>
      </c>
      <c r="F20" t="b">
        <v>1</v>
      </c>
    </row>
    <row r="21">
      <c r="A21" t="inlineStr">
        <is>
          <t>devocity</t>
        </is>
      </c>
      <c r="B21" t="b">
        <v>1</v>
      </c>
      <c r="C21" t="b">
        <v>1</v>
      </c>
      <c r="D21" t="b">
        <v>1</v>
      </c>
      <c r="E21" t="inlineStr">
        <is>
          <t>8110</t>
        </is>
      </c>
      <c r="F21" t="b">
        <v>1</v>
      </c>
    </row>
    <row r="22">
      <c r="A22" t="inlineStr">
        <is>
          <t>dimensional-nexus-service</t>
        </is>
      </c>
      <c r="B22" t="b">
        <v>1</v>
      </c>
      <c r="C22" t="b">
        <v>1</v>
      </c>
      <c r="D22" t="b">
        <v>0</v>
      </c>
      <c r="E22" t="inlineStr"/>
      <c r="F22" t="b">
        <v>1</v>
      </c>
    </row>
    <row r="23">
      <c r="A23" t="inlineStr">
        <is>
          <t>dspy-service</t>
        </is>
      </c>
      <c r="B23" t="b">
        <v>1</v>
      </c>
      <c r="C23" t="b">
        <v>1</v>
      </c>
      <c r="D23" t="b">
        <v>1</v>
      </c>
      <c r="E23" t="inlineStr">
        <is>
          <t>8098</t>
        </is>
      </c>
      <c r="F23" t="b">
        <v>1</v>
      </c>
    </row>
    <row r="24">
      <c r="A24" t="inlineStr">
        <is>
          <t>email-service</t>
        </is>
      </c>
      <c r="B24" t="b">
        <v>1</v>
      </c>
      <c r="C24" t="b">
        <v>1</v>
      </c>
      <c r="D24" t="b">
        <v>1</v>
      </c>
      <c r="E24" t="inlineStr"/>
      <c r="F24" t="b">
        <v>1</v>
      </c>
    </row>
    <row r="25">
      <c r="A25" t="inlineStr">
        <is>
          <t>fabulousa-service</t>
        </is>
      </c>
      <c r="B25" t="b">
        <v>1</v>
      </c>
      <c r="C25" t="b">
        <v>1</v>
      </c>
      <c r="D25" t="b">
        <v>1</v>
      </c>
      <c r="E25" t="inlineStr">
        <is>
          <t>8048</t>
        </is>
      </c>
      <c r="F25" t="b">
        <v>1</v>
      </c>
    </row>
    <row r="26">
      <c r="A26" t="inlineStr">
        <is>
          <t>ffmpeg-worker</t>
        </is>
      </c>
      <c r="B26" t="b">
        <v>1</v>
      </c>
      <c r="C26" t="b">
        <v>1</v>
      </c>
      <c r="D26" t="b">
        <v>1</v>
      </c>
      <c r="E26" t="inlineStr">
        <is>
          <t>8052</t>
        </is>
      </c>
      <c r="F26" t="b">
        <v>1</v>
      </c>
    </row>
    <row r="27">
      <c r="A27" t="inlineStr">
        <is>
          <t>files-service</t>
        </is>
      </c>
      <c r="B27" t="b">
        <v>1</v>
      </c>
      <c r="C27" t="b">
        <v>1</v>
      </c>
      <c r="D27" t="b">
        <v>1</v>
      </c>
      <c r="E27" t="inlineStr">
        <is>
          <t>8014</t>
        </is>
      </c>
      <c r="F27" t="b">
        <v>1</v>
      </c>
    </row>
    <row r="28">
      <c r="A28" t="inlineStr">
        <is>
          <t>gateway-service</t>
        </is>
      </c>
      <c r="B28" t="b">
        <v>1</v>
      </c>
      <c r="C28" t="b">
        <v>1</v>
      </c>
      <c r="D28" t="b">
        <v>0</v>
      </c>
      <c r="E28" t="inlineStr"/>
      <c r="F28" t="b">
        <v>0</v>
      </c>
    </row>
    <row r="29">
      <c r="A29" t="inlineStr">
        <is>
          <t>gbrain-bridge</t>
        </is>
      </c>
      <c r="B29" t="b">
        <v>1</v>
      </c>
      <c r="C29" t="b">
        <v>1</v>
      </c>
      <c r="D29" t="b">
        <v>1</v>
      </c>
      <c r="E29" t="inlineStr"/>
      <c r="F29" t="b">
        <v>1</v>
      </c>
    </row>
    <row r="30">
      <c r="A30" t="inlineStr">
        <is>
          <t>geo-service</t>
        </is>
      </c>
      <c r="B30" t="b">
        <v>1</v>
      </c>
      <c r="C30" t="b">
        <v>1</v>
      </c>
      <c r="D30" t="b">
        <v>1</v>
      </c>
      <c r="E30" t="inlineStr"/>
      <c r="F30" t="b">
        <v>1</v>
      </c>
    </row>
    <row r="31">
      <c r="A31" t="inlineStr">
        <is>
          <t>haystack-service</t>
        </is>
      </c>
      <c r="B31" t="b">
        <v>1</v>
      </c>
      <c r="C31" t="b">
        <v>1</v>
      </c>
      <c r="D31" t="b">
        <v>1</v>
      </c>
      <c r="E31" t="inlineStr">
        <is>
          <t>8097</t>
        </is>
      </c>
      <c r="F31" t="b">
        <v>1</v>
      </c>
    </row>
    <row r="32">
      <c r="A32" t="inlineStr">
        <is>
          <t>health-aggregator</t>
        </is>
      </c>
      <c r="B32" t="b">
        <v>1</v>
      </c>
      <c r="C32" t="b">
        <v>1</v>
      </c>
      <c r="D32" t="b">
        <v>1</v>
      </c>
      <c r="E32" t="inlineStr"/>
      <c r="F32" t="b">
        <v>1</v>
      </c>
    </row>
    <row r="33">
      <c r="A33" t="inlineStr">
        <is>
          <t>hive-service</t>
        </is>
      </c>
      <c r="B33" t="b">
        <v>1</v>
      </c>
      <c r="C33" t="b">
        <v>1</v>
      </c>
      <c r="D33" t="b">
        <v>1</v>
      </c>
      <c r="E33" t="inlineStr">
        <is>
          <t>8051</t>
        </is>
      </c>
      <c r="F33" t="b">
        <v>1</v>
      </c>
    </row>
    <row r="34">
      <c r="A34" t="inlineStr">
        <is>
          <t>ice-box-service</t>
        </is>
      </c>
      <c r="B34" t="b">
        <v>1</v>
      </c>
      <c r="C34" t="b">
        <v>1</v>
      </c>
      <c r="D34" t="b">
        <v>1</v>
      </c>
      <c r="E34" t="inlineStr">
        <is>
          <t>8046</t>
        </is>
      </c>
      <c r="F34" t="b">
        <v>1</v>
      </c>
    </row>
    <row r="35">
      <c r="A35" t="inlineStr">
        <is>
          <t>identity-service</t>
        </is>
      </c>
      <c r="B35" t="b">
        <v>1</v>
      </c>
      <c r="C35" t="b">
        <v>1</v>
      </c>
      <c r="D35" t="b">
        <v>1</v>
      </c>
      <c r="E35" t="inlineStr">
        <is>
          <t>8015</t>
        </is>
      </c>
      <c r="F35" t="b">
        <v>1</v>
      </c>
    </row>
    <row r="36">
      <c r="A36" t="inlineStr">
        <is>
          <t>imaginarium</t>
        </is>
      </c>
      <c r="B36" t="b">
        <v>1</v>
      </c>
      <c r="C36" t="b">
        <v>1</v>
      </c>
      <c r="D36" t="b">
        <v>1</v>
      </c>
      <c r="E36" t="inlineStr">
        <is>
          <t>8064</t>
        </is>
      </c>
      <c r="F36" t="b">
        <v>1</v>
      </c>
    </row>
    <row r="37">
      <c r="A37" t="inlineStr">
        <is>
          <t>imind</t>
        </is>
      </c>
      <c r="B37" t="b">
        <v>1</v>
      </c>
      <c r="C37" t="b">
        <v>1</v>
      </c>
      <c r="D37" t="b">
        <v>1</v>
      </c>
      <c r="E37" t="inlineStr">
        <is>
          <t>8075</t>
        </is>
      </c>
      <c r="F37" t="b">
        <v>1</v>
      </c>
    </row>
    <row r="38">
      <c r="A38" t="inlineStr">
        <is>
          <t>infinity-admin-service</t>
        </is>
      </c>
      <c r="B38" t="b">
        <v>1</v>
      </c>
      <c r="C38" t="b">
        <v>1</v>
      </c>
      <c r="D38" t="b">
        <v>0</v>
      </c>
      <c r="E38" t="inlineStr"/>
      <c r="F38" t="b">
        <v>0</v>
      </c>
    </row>
    <row r="39">
      <c r="A39" t="inlineStr">
        <is>
          <t>infinity-ai</t>
        </is>
      </c>
      <c r="B39" t="b">
        <v>1</v>
      </c>
      <c r="C39" t="b">
        <v>1</v>
      </c>
      <c r="D39" t="b">
        <v>1</v>
      </c>
      <c r="E39" t="inlineStr">
        <is>
          <t>8009</t>
        </is>
      </c>
      <c r="F39" t="b">
        <v>0</v>
      </c>
    </row>
    <row r="40">
      <c r="A40" t="inlineStr">
        <is>
          <t>infinity-auth</t>
        </is>
      </c>
      <c r="B40" t="b">
        <v>1</v>
      </c>
      <c r="C40" t="b">
        <v>1</v>
      </c>
      <c r="D40" t="b">
        <v>1</v>
      </c>
      <c r="E40" t="inlineStr">
        <is>
          <t>8005</t>
        </is>
      </c>
      <c r="F40" t="b">
        <v>0</v>
      </c>
    </row>
    <row r="41">
      <c r="A41" t="inlineStr">
        <is>
          <t>infinity-bridge-service</t>
        </is>
      </c>
      <c r="B41" t="b">
        <v>1</v>
      </c>
      <c r="C41" t="b">
        <v>1</v>
      </c>
      <c r="D41" t="b">
        <v>0</v>
      </c>
      <c r="E41" t="inlineStr"/>
      <c r="F41" t="b">
        <v>1</v>
      </c>
    </row>
    <row r="42">
      <c r="A42" t="inlineStr">
        <is>
          <t>infinity-one-service</t>
        </is>
      </c>
      <c r="B42" t="b">
        <v>1</v>
      </c>
      <c r="C42" t="b">
        <v>1</v>
      </c>
      <c r="D42" t="b">
        <v>0</v>
      </c>
      <c r="E42" t="inlineStr"/>
      <c r="F42" t="b">
        <v>1</v>
      </c>
    </row>
    <row r="43">
      <c r="A43" t="inlineStr">
        <is>
          <t>infinity-portal-service</t>
        </is>
      </c>
      <c r="B43" t="b">
        <v>1</v>
      </c>
      <c r="C43" t="b">
        <v>1</v>
      </c>
      <c r="D43" t="b">
        <v>0</v>
      </c>
      <c r="E43" t="inlineStr"/>
      <c r="F43" t="b">
        <v>0</v>
      </c>
    </row>
    <row r="44">
      <c r="A44" t="inlineStr">
        <is>
          <t>infinity-shards-service</t>
        </is>
      </c>
      <c r="B44" t="b">
        <v>1</v>
      </c>
      <c r="C44" t="b">
        <v>1</v>
      </c>
      <c r="D44" t="b">
        <v>0</v>
      </c>
      <c r="E44" t="inlineStr"/>
      <c r="F44" t="b">
        <v>1</v>
      </c>
    </row>
    <row r="45">
      <c r="A45" t="inlineStr">
        <is>
          <t>infinity-void</t>
        </is>
      </c>
      <c r="B45" t="b">
        <v>1</v>
      </c>
      <c r="C45" t="b">
        <v>1</v>
      </c>
      <c r="D45" t="b">
        <v>1</v>
      </c>
      <c r="E45" t="inlineStr">
        <is>
          <t>8002</t>
        </is>
      </c>
      <c r="F45" t="b">
        <v>1</v>
      </c>
    </row>
    <row r="46">
      <c r="A46" t="inlineStr">
        <is>
          <t>infinity-ws</t>
        </is>
      </c>
      <c r="B46" t="b">
        <v>1</v>
      </c>
      <c r="C46" t="b">
        <v>1</v>
      </c>
      <c r="D46" t="b">
        <v>1</v>
      </c>
      <c r="E46" t="inlineStr">
        <is>
          <t>8004</t>
        </is>
      </c>
      <c r="F46" t="b">
        <v>1</v>
      </c>
    </row>
    <row r="47">
      <c r="A47" t="inlineStr">
        <is>
          <t>lab-service</t>
        </is>
      </c>
      <c r="B47" t="b">
        <v>0</v>
      </c>
      <c r="C47" t="b">
        <v>1</v>
      </c>
      <c r="D47" t="b">
        <v>1</v>
      </c>
      <c r="E47" t="inlineStr"/>
      <c r="F47" t="b">
        <v>0</v>
      </c>
    </row>
    <row r="48">
      <c r="A48" t="inlineStr">
        <is>
          <t>langchain-integration-service</t>
        </is>
      </c>
      <c r="B48" t="b">
        <v>1</v>
      </c>
      <c r="C48" t="b">
        <v>1</v>
      </c>
      <c r="D48" t="b">
        <v>1</v>
      </c>
      <c r="E48" t="inlineStr">
        <is>
          <t>8036</t>
        </is>
      </c>
      <c r="F48" t="b">
        <v>1</v>
      </c>
    </row>
    <row r="49">
      <c r="A49" t="inlineStr">
        <is>
          <t>ledger-service</t>
        </is>
      </c>
      <c r="B49" t="b">
        <v>1</v>
      </c>
      <c r="C49" t="b">
        <v>1</v>
      </c>
      <c r="D49" t="b">
        <v>1</v>
      </c>
      <c r="E49" t="inlineStr"/>
      <c r="F49" t="b">
        <v>1</v>
      </c>
    </row>
    <row r="50">
      <c r="A50" t="inlineStr">
        <is>
          <t>library-service</t>
        </is>
      </c>
      <c r="B50" t="b">
        <v>0</v>
      </c>
      <c r="C50" t="b">
        <v>1</v>
      </c>
      <c r="D50" t="b">
        <v>1</v>
      </c>
      <c r="E50" t="inlineStr"/>
      <c r="F50" t="b">
        <v>0</v>
      </c>
    </row>
    <row r="51">
      <c r="A51" t="inlineStr">
        <is>
          <t>litellm-service</t>
        </is>
      </c>
      <c r="B51" t="b">
        <v>1</v>
      </c>
      <c r="C51" t="b">
        <v>1</v>
      </c>
      <c r="D51" t="b">
        <v>1</v>
      </c>
      <c r="E51" t="inlineStr">
        <is>
          <t>8049</t>
        </is>
      </c>
      <c r="F51" t="b">
        <v>1</v>
      </c>
    </row>
    <row r="52">
      <c r="A52" t="inlineStr">
        <is>
          <t>llamaindex-service</t>
        </is>
      </c>
      <c r="B52" t="b">
        <v>1</v>
      </c>
      <c r="C52" t="b">
        <v>1</v>
      </c>
      <c r="D52" t="b">
        <v>1</v>
      </c>
      <c r="E52" t="inlineStr">
        <is>
          <t>8096</t>
        </is>
      </c>
      <c r="F52" t="b">
        <v>1</v>
      </c>
    </row>
    <row r="53">
      <c r="A53" t="inlineStr">
        <is>
          <t>mlflow-service</t>
        </is>
      </c>
      <c r="B53" t="b">
        <v>1</v>
      </c>
      <c r="C53" t="b">
        <v>1</v>
      </c>
      <c r="D53" t="b">
        <v>1</v>
      </c>
      <c r="E53" t="inlineStr">
        <is>
          <t>8039</t>
        </is>
      </c>
      <c r="F53" t="b">
        <v>1</v>
      </c>
    </row>
    <row r="54">
      <c r="A54" t="inlineStr">
        <is>
          <t>model-router-service</t>
        </is>
      </c>
      <c r="B54" t="b">
        <v>1</v>
      </c>
      <c r="C54" t="b">
        <v>1</v>
      </c>
      <c r="D54" t="b">
        <v>1</v>
      </c>
      <c r="E54" t="inlineStr"/>
      <c r="F54" t="b">
        <v>1</v>
      </c>
    </row>
    <row r="55">
      <c r="A55" t="inlineStr">
        <is>
          <t>monitoring</t>
        </is>
      </c>
      <c r="B55" t="b">
        <v>1</v>
      </c>
      <c r="C55" t="b">
        <v>1</v>
      </c>
      <c r="D55" t="b">
        <v>1</v>
      </c>
      <c r="E55" t="inlineStr">
        <is>
          <t>8007</t>
        </is>
      </c>
      <c r="F55" t="b">
        <v>1</v>
      </c>
    </row>
    <row r="56">
      <c r="A56" t="inlineStr">
        <is>
          <t>monitoring-go</t>
        </is>
      </c>
      <c r="B56" t="b">
        <v>0</v>
      </c>
      <c r="C56" t="b">
        <v>1</v>
      </c>
      <c r="D56" t="b">
        <v>0</v>
      </c>
      <c r="E56" t="inlineStr"/>
      <c r="F56" t="b">
        <v>0</v>
      </c>
    </row>
    <row r="57">
      <c r="A57" t="inlineStr">
        <is>
          <t>nexus-ws-rs</t>
        </is>
      </c>
      <c r="B57" t="b">
        <v>0</v>
      </c>
      <c r="C57" t="b">
        <v>1</v>
      </c>
      <c r="D57" t="b">
        <v>1</v>
      </c>
      <c r="E57" t="inlineStr">
        <is>
          <t>8100</t>
        </is>
      </c>
      <c r="F57" t="b">
        <v>0</v>
      </c>
    </row>
    <row r="58">
      <c r="A58" t="inlineStr">
        <is>
          <t>notifications</t>
        </is>
      </c>
      <c r="B58" t="b">
        <v>1</v>
      </c>
      <c r="C58" t="b">
        <v>1</v>
      </c>
      <c r="D58" t="b">
        <v>1</v>
      </c>
      <c r="E58" t="inlineStr">
        <is>
          <t>8008</t>
        </is>
      </c>
      <c r="F58" t="b">
        <v>1</v>
      </c>
    </row>
    <row r="59">
      <c r="A59" t="inlineStr">
        <is>
          <t>observatory</t>
        </is>
      </c>
      <c r="B59" t="b">
        <v>1</v>
      </c>
      <c r="C59" t="b">
        <v>1</v>
      </c>
      <c r="D59" t="b">
        <v>1</v>
      </c>
      <c r="E59" t="inlineStr"/>
      <c r="F59" t="b">
        <v>0</v>
      </c>
    </row>
    <row r="60">
      <c r="A60" t="inlineStr">
        <is>
          <t>optional-services-health</t>
        </is>
      </c>
      <c r="B60" t="b">
        <v>0</v>
      </c>
      <c r="C60" t="b">
        <v>1</v>
      </c>
      <c r="D60" t="b">
        <v>0</v>
      </c>
      <c r="E60" t="inlineStr"/>
      <c r="F60" t="b">
        <v>0</v>
      </c>
    </row>
    <row r="61">
      <c r="A61" t="inlineStr">
        <is>
          <t>orders-service</t>
        </is>
      </c>
      <c r="B61" t="b">
        <v>1</v>
      </c>
      <c r="C61" t="b">
        <v>1</v>
      </c>
      <c r="D61" t="b">
        <v>1</v>
      </c>
      <c r="E61" t="inlineStr">
        <is>
          <t>8012</t>
        </is>
      </c>
      <c r="F61" t="b">
        <v>1</v>
      </c>
    </row>
    <row r="62">
      <c r="A62" t="inlineStr">
        <is>
          <t>payments-service</t>
        </is>
      </c>
      <c r="B62" t="b">
        <v>1</v>
      </c>
      <c r="C62" t="b">
        <v>1</v>
      </c>
      <c r="D62" t="b">
        <v>1</v>
      </c>
      <c r="E62" t="inlineStr">
        <is>
          <t>8013</t>
        </is>
      </c>
      <c r="F62" t="b">
        <v>1</v>
      </c>
    </row>
    <row r="63">
      <c r="A63" t="inlineStr">
        <is>
          <t>products-service</t>
        </is>
      </c>
      <c r="B63" t="b">
        <v>1</v>
      </c>
      <c r="C63" t="b">
        <v>1</v>
      </c>
      <c r="D63" t="b">
        <v>1</v>
      </c>
      <c r="E63" t="inlineStr">
        <is>
          <t>8011</t>
        </is>
      </c>
      <c r="F63" t="b">
        <v>1</v>
      </c>
    </row>
    <row r="64">
      <c r="A64" t="inlineStr">
        <is>
          <t>queue-service</t>
        </is>
      </c>
      <c r="B64" t="b">
        <v>1</v>
      </c>
      <c r="C64" t="b">
        <v>1</v>
      </c>
      <c r="D64" t="b">
        <v>1</v>
      </c>
      <c r="E64" t="inlineStr"/>
      <c r="F64" t="b">
        <v>1</v>
      </c>
    </row>
    <row r="65">
      <c r="A65" t="inlineStr">
        <is>
          <t>queue-service-go</t>
        </is>
      </c>
      <c r="B65" t="b">
        <v>0</v>
      </c>
      <c r="C65" t="b">
        <v>0</v>
      </c>
      <c r="D65" t="b">
        <v>0</v>
      </c>
      <c r="E65" t="inlineStr"/>
      <c r="F65" t="b">
        <v>0</v>
      </c>
    </row>
    <row r="66">
      <c r="A66" t="inlineStr">
        <is>
          <t>rate-limit-service</t>
        </is>
      </c>
      <c r="B66" t="b">
        <v>1</v>
      </c>
      <c r="C66" t="b">
        <v>1</v>
      </c>
      <c r="D66" t="b">
        <v>1</v>
      </c>
      <c r="E66" t="inlineStr"/>
      <c r="F66" t="b">
        <v>1</v>
      </c>
    </row>
    <row r="67">
      <c r="A67" t="inlineStr">
        <is>
          <t>rate-limit-service-go</t>
        </is>
      </c>
      <c r="B67" t="b">
        <v>0</v>
      </c>
      <c r="C67" t="b">
        <v>0</v>
      </c>
      <c r="D67" t="b">
        <v>0</v>
      </c>
      <c r="E67" t="inlineStr"/>
      <c r="F67" t="b">
        <v>0</v>
      </c>
    </row>
    <row r="68">
      <c r="A68" t="inlineStr">
        <is>
          <t>rate-limit-service-rs</t>
        </is>
      </c>
      <c r="B68" t="b">
        <v>0</v>
      </c>
      <c r="C68" t="b">
        <v>1</v>
      </c>
      <c r="D68" t="b">
        <v>1</v>
      </c>
      <c r="E68" t="inlineStr"/>
      <c r="F68" t="b">
        <v>0</v>
      </c>
    </row>
    <row r="69">
      <c r="A69" t="inlineStr">
        <is>
          <t>remotion-render-service</t>
        </is>
      </c>
      <c r="B69" t="b">
        <v>0</v>
      </c>
      <c r="C69" t="b">
        <v>1</v>
      </c>
      <c r="D69" t="b">
        <v>1</v>
      </c>
      <c r="E69" t="inlineStr"/>
      <c r="F69" t="b">
        <v>0</v>
      </c>
    </row>
    <row r="70">
      <c r="A70" t="inlineStr">
        <is>
          <t>resonate</t>
        </is>
      </c>
      <c r="B70" t="b">
        <v>1</v>
      </c>
      <c r="C70" t="b">
        <v>1</v>
      </c>
      <c r="D70" t="b">
        <v>1</v>
      </c>
      <c r="E70" t="inlineStr">
        <is>
          <t>8076</t>
        </is>
      </c>
      <c r="F70" t="b">
        <v>1</v>
      </c>
    </row>
    <row r="71">
      <c r="A71" t="inlineStr">
        <is>
          <t>sashas-photo-studio</t>
        </is>
      </c>
      <c r="B71" t="b">
        <v>1</v>
      </c>
      <c r="C71" t="b">
        <v>1</v>
      </c>
      <c r="D71" t="b">
        <v>1</v>
      </c>
      <c r="E71" t="inlineStr">
        <is>
          <t>8062</t>
        </is>
      </c>
      <c r="F71" t="b">
        <v>1</v>
      </c>
    </row>
    <row r="72">
      <c r="A72" t="inlineStr">
        <is>
          <t>search-service</t>
        </is>
      </c>
      <c r="B72" t="b">
        <v>1</v>
      </c>
      <c r="C72" t="b">
        <v>1</v>
      </c>
      <c r="D72" t="b">
        <v>1</v>
      </c>
      <c r="E72" t="inlineStr"/>
      <c r="F72" t="b">
        <v>1</v>
      </c>
    </row>
    <row r="73">
      <c r="A73" t="inlineStr">
        <is>
          <t>sentinel-station-service</t>
        </is>
      </c>
      <c r="B73" t="b">
        <v>1</v>
      </c>
      <c r="C73" t="b">
        <v>1</v>
      </c>
      <c r="D73" t="b">
        <v>1</v>
      </c>
      <c r="E73" t="inlineStr">
        <is>
          <t>8041</t>
        </is>
      </c>
      <c r="F73" t="b">
        <v>1</v>
      </c>
    </row>
    <row r="74">
      <c r="A74" t="inlineStr">
        <is>
          <t>skills-benchmark-service</t>
        </is>
      </c>
      <c r="B74" t="b">
        <v>1</v>
      </c>
      <c r="C74" t="b">
        <v>1</v>
      </c>
      <c r="D74" t="b">
        <v>1</v>
      </c>
      <c r="E74" t="inlineStr"/>
      <c r="F74" t="b">
        <v>1</v>
      </c>
    </row>
    <row r="75">
      <c r="A75" t="inlineStr">
        <is>
          <t>sms-service</t>
        </is>
      </c>
      <c r="B75" t="b">
        <v>1</v>
      </c>
      <c r="C75" t="b">
        <v>1</v>
      </c>
      <c r="D75" t="b">
        <v>1</v>
      </c>
      <c r="E75" t="inlineStr"/>
      <c r="F75" t="b">
        <v>1</v>
      </c>
    </row>
    <row r="76">
      <c r="A76" t="inlineStr">
        <is>
          <t>storage-service</t>
        </is>
      </c>
      <c r="B76" t="b">
        <v>1</v>
      </c>
      <c r="C76" t="b">
        <v>1</v>
      </c>
      <c r="D76" t="b">
        <v>1</v>
      </c>
      <c r="E76" t="inlineStr"/>
      <c r="F76" t="b">
        <v>1</v>
      </c>
    </row>
    <row r="77">
      <c r="A77" t="inlineStr">
        <is>
          <t>swarm-coordinator-service</t>
        </is>
      </c>
      <c r="B77" t="b">
        <v>1</v>
      </c>
      <c r="C77" t="b">
        <v>1</v>
      </c>
      <c r="D77" t="b">
        <v>1</v>
      </c>
      <c r="E77" t="inlineStr">
        <is>
          <t>8109</t>
        </is>
      </c>
      <c r="F77" t="b">
        <v>1</v>
      </c>
    </row>
    <row r="78">
      <c r="A78" t="inlineStr">
        <is>
          <t>taimra</t>
        </is>
      </c>
      <c r="B78" t="b">
        <v>1</v>
      </c>
      <c r="C78" t="b">
        <v>1</v>
      </c>
      <c r="D78" t="b">
        <v>1</v>
      </c>
      <c r="E78" t="inlineStr">
        <is>
          <t>8074</t>
        </is>
      </c>
      <c r="F78" t="b">
        <v>1</v>
      </c>
    </row>
    <row r="79">
      <c r="A79" t="inlineStr">
        <is>
          <t>tateking</t>
        </is>
      </c>
      <c r="B79" t="b">
        <v>1</v>
      </c>
      <c r="C79" t="b">
        <v>1</v>
      </c>
      <c r="D79" t="b">
        <v>1</v>
      </c>
      <c r="E79" t="inlineStr">
        <is>
          <t>8061</t>
        </is>
      </c>
      <c r="F79" t="b">
        <v>1</v>
      </c>
    </row>
    <row r="80">
      <c r="A80" t="inlineStr">
        <is>
          <t>the-academy</t>
        </is>
      </c>
      <c r="B80" t="b">
        <v>1</v>
      </c>
      <c r="C80" t="b">
        <v>1</v>
      </c>
      <c r="D80" t="b">
        <v>1</v>
      </c>
      <c r="E80" t="inlineStr">
        <is>
          <t>8056</t>
        </is>
      </c>
      <c r="F80" t="b">
        <v>1</v>
      </c>
    </row>
    <row r="81">
      <c r="A81" t="inlineStr">
        <is>
          <t>the-dutchy</t>
        </is>
      </c>
      <c r="B81" t="b">
        <v>1</v>
      </c>
      <c r="C81" t="b">
        <v>1</v>
      </c>
      <c r="D81" t="b">
        <v>1</v>
      </c>
      <c r="E81" t="inlineStr">
        <is>
          <t>8057</t>
        </is>
      </c>
      <c r="F81" t="b">
        <v>1</v>
      </c>
    </row>
    <row r="82">
      <c r="A82" t="inlineStr">
        <is>
          <t>the-grid</t>
        </is>
      </c>
      <c r="B82" t="b">
        <v>1</v>
      </c>
      <c r="C82" t="b">
        <v>1</v>
      </c>
      <c r="D82" t="b">
        <v>1</v>
      </c>
      <c r="E82" t="inlineStr">
        <is>
          <t>8010</t>
        </is>
      </c>
      <c r="F82" t="b">
        <v>0</v>
      </c>
    </row>
    <row r="83">
      <c r="A83" t="inlineStr">
        <is>
          <t>the-lab</t>
        </is>
      </c>
      <c r="B83" t="b">
        <v>1</v>
      </c>
      <c r="C83" t="b">
        <v>1</v>
      </c>
      <c r="D83" t="b">
        <v>1</v>
      </c>
      <c r="E83" t="inlineStr">
        <is>
          <t>8055</t>
        </is>
      </c>
      <c r="F83" t="b">
        <v>1</v>
      </c>
    </row>
    <row r="84">
      <c r="A84" t="inlineStr">
        <is>
          <t>the-studio</t>
        </is>
      </c>
      <c r="B84" t="b">
        <v>1</v>
      </c>
      <c r="C84" t="b">
        <v>1</v>
      </c>
      <c r="D84" t="b">
        <v>1</v>
      </c>
      <c r="E84" t="inlineStr">
        <is>
          <t>8069</t>
        </is>
      </c>
      <c r="F84" t="b">
        <v>1</v>
      </c>
    </row>
    <row r="85">
      <c r="A85" t="inlineStr">
        <is>
          <t>the-void</t>
        </is>
      </c>
      <c r="B85" t="b">
        <v>1</v>
      </c>
      <c r="C85" t="b">
        <v>0</v>
      </c>
      <c r="D85" t="b">
        <v>0</v>
      </c>
      <c r="E85" t="inlineStr"/>
      <c r="F85" t="b">
        <v>1</v>
      </c>
    </row>
    <row r="86">
      <c r="A86" t="inlineStr">
        <is>
          <t>topology-service</t>
        </is>
      </c>
      <c r="B86" t="b">
        <v>1</v>
      </c>
      <c r="C86" t="b">
        <v>1</v>
      </c>
      <c r="D86" t="b">
        <v>1</v>
      </c>
      <c r="E86" t="inlineStr"/>
      <c r="F86" t="b">
        <v>1</v>
      </c>
    </row>
    <row r="87">
      <c r="A87" t="inlineStr">
        <is>
          <t>tranc3-ai</t>
        </is>
      </c>
      <c r="B87" t="b">
        <v>1</v>
      </c>
      <c r="C87" t="b">
        <v>1</v>
      </c>
      <c r="D87" t="b">
        <v>1</v>
      </c>
      <c r="E87" t="inlineStr">
        <is>
          <t>8001</t>
        </is>
      </c>
      <c r="F87" t="b">
        <v>1</v>
      </c>
    </row>
    <row r="88">
      <c r="A88" t="inlineStr">
        <is>
          <t>tranceflow</t>
        </is>
      </c>
      <c r="B88" t="b">
        <v>1</v>
      </c>
      <c r="C88" t="b">
        <v>1</v>
      </c>
      <c r="D88" t="b">
        <v>1</v>
      </c>
      <c r="E88" t="inlineStr"/>
      <c r="F88" t="b">
        <v>1</v>
      </c>
    </row>
    <row r="89">
      <c r="A89" t="inlineStr">
        <is>
          <t>tranquility</t>
        </is>
      </c>
      <c r="B89" t="b">
        <v>1</v>
      </c>
      <c r="C89" t="b">
        <v>1</v>
      </c>
      <c r="D89" t="b">
        <v>1</v>
      </c>
      <c r="E89" t="inlineStr">
        <is>
          <t>8077</t>
        </is>
      </c>
      <c r="F89" t="b">
        <v>1</v>
      </c>
    </row>
    <row r="90">
      <c r="A90" t="inlineStr">
        <is>
          <t>triposr-worker</t>
        </is>
      </c>
      <c r="B90" t="b">
        <v>1</v>
      </c>
      <c r="C90" t="b">
        <v>1</v>
      </c>
      <c r="D90" t="b">
        <v>1</v>
      </c>
      <c r="E90" t="inlineStr">
        <is>
          <t>8111</t>
        </is>
      </c>
      <c r="F90" t="b">
        <v>1</v>
      </c>
    </row>
    <row r="91">
      <c r="A91" t="inlineStr">
        <is>
          <t>turings-hub-service</t>
        </is>
      </c>
      <c r="B91" t="b">
        <v>1</v>
      </c>
      <c r="C91" t="b">
        <v>1</v>
      </c>
      <c r="D91" t="b">
        <v>1</v>
      </c>
      <c r="E91" t="inlineStr">
        <is>
          <t>8058</t>
        </is>
      </c>
      <c r="F91" t="b">
        <v>1</v>
      </c>
    </row>
    <row r="92">
      <c r="A92" t="inlineStr">
        <is>
          <t>users-service</t>
        </is>
      </c>
      <c r="B92" t="b">
        <v>1</v>
      </c>
      <c r="C92" t="b">
        <v>1</v>
      </c>
      <c r="D92" t="b">
        <v>1</v>
      </c>
      <c r="E92" t="inlineStr">
        <is>
          <t>8006</t>
        </is>
      </c>
      <c r="F92" t="b">
        <v>1</v>
      </c>
    </row>
    <row r="93">
      <c r="A93" t="inlineStr">
        <is>
          <t>vault-service</t>
        </is>
      </c>
      <c r="B93" t="b">
        <v>1</v>
      </c>
      <c r="C93" t="b">
        <v>1</v>
      </c>
      <c r="D93" t="b">
        <v>1</v>
      </c>
      <c r="E93" t="inlineStr"/>
      <c r="F93" t="b">
        <v>1</v>
      </c>
    </row>
    <row r="94">
      <c r="A94" t="inlineStr">
        <is>
          <t>vault-service-rs</t>
        </is>
      </c>
      <c r="B94" t="b">
        <v>0</v>
      </c>
      <c r="C94" t="b">
        <v>1</v>
      </c>
      <c r="D94" t="b">
        <v>1</v>
      </c>
      <c r="E94" t="inlineStr">
        <is>
          <t>8094</t>
        </is>
      </c>
      <c r="F94" t="b">
        <v>0</v>
      </c>
    </row>
    <row r="95">
      <c r="A95" t="inlineStr">
        <is>
          <t>vrar3d</t>
        </is>
      </c>
      <c r="B95" t="b">
        <v>1</v>
      </c>
      <c r="C95" t="b">
        <v>1</v>
      </c>
      <c r="D95" t="b">
        <v>1</v>
      </c>
      <c r="E95" t="inlineStr"/>
      <c r="F95" t="b">
        <v>1</v>
      </c>
    </row>
    <row r="96">
      <c r="A96" t="inlineStr">
        <is>
          <t>warp-radio</t>
        </is>
      </c>
      <c r="B96" t="b">
        <v>1</v>
      </c>
      <c r="C96" t="b">
        <v>1</v>
      </c>
      <c r="D96" t="b">
        <v>1</v>
      </c>
      <c r="E96" t="inlineStr">
        <is>
          <t>8073</t>
        </is>
      </c>
      <c r="F96" t="b">
        <v>1</v>
      </c>
    </row>
    <row r="97">
      <c r="A97" t="inlineStr">
        <is>
          <t>warp-tunnel</t>
        </is>
      </c>
      <c r="B97" t="b">
        <v>1</v>
      </c>
      <c r="C97" t="b">
        <v>1</v>
      </c>
      <c r="D97" t="b">
        <v>1</v>
      </c>
      <c r="E97" t="inlineStr">
        <is>
          <t>8072</t>
        </is>
      </c>
      <c r="F97" t="b">
        <v>1</v>
      </c>
    </row>
    <row r="98">
      <c r="A98" t="inlineStr">
        <is>
          <t>workflow-engine-service</t>
        </is>
      </c>
      <c r="B98" t="b">
        <v>1</v>
      </c>
      <c r="C98" t="b">
        <v>1</v>
      </c>
      <c r="D98" t="b">
        <v>1</v>
      </c>
      <c r="E98" t="inlineStr"/>
      <c r="F98" t="b">
        <v>1</v>
      </c>
    </row>
    <row r="101">
      <c r="A101" s="3" t="inlineStr">
        <is>
          <t>Summary</t>
        </is>
      </c>
    </row>
    <row r="102">
      <c r="A102" t="inlineStr">
        <is>
          <t>Total worker directories found</t>
        </is>
      </c>
      <c r="B102">
        <f>COUNTA(A5:A98)</f>
        <v/>
      </c>
    </row>
    <row r="103">
      <c r="A103" t="inlineStr">
        <is>
          <t>Registered in docker-compose.production.yml</t>
        </is>
      </c>
      <c r="B103">
        <f>COUNTIF(D5:D98,TRUE)</f>
        <v/>
      </c>
    </row>
    <row r="104">
      <c r="A104" t="inlineStr">
        <is>
          <t>NOT registered (code exists, not deployed)</t>
        </is>
      </c>
      <c r="B104">
        <f>COUNTIF(D5:D98,FALSE)</f>
        <v/>
      </c>
    </row>
    <row r="105">
      <c r="A105" t="inlineStr">
        <is>
          <t>Has a /health reference in source</t>
        </is>
      </c>
      <c r="B105">
        <f>COUNTIF(F5:F98,TRUE)</f>
        <v/>
      </c>
    </row>
  </sheetData>
  <mergeCells count="1">
    <mergeCell ref="A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60" customWidth="1" min="3" max="3"/>
    <col width="60" customWidth="1" min="4" max="4"/>
    <col width="30" customWidth="1" min="5" max="5"/>
    <col width="10" customWidth="1" min="6" max="6"/>
    <col width="14" customWidth="1" min="7" max="7"/>
  </cols>
  <sheetData>
    <row r="1">
      <c r="A1" s="6" t="inlineStr">
        <is>
          <t>Theme</t>
        </is>
      </c>
      <c r="B1" s="6" t="inlineStr">
        <is>
          <t>Action</t>
        </is>
      </c>
      <c r="C1" s="6" t="inlineStr">
        <is>
          <t>Why it matters</t>
        </is>
      </c>
      <c r="D1" s="6" t="inlineStr">
        <is>
          <t>How to complete</t>
        </is>
      </c>
      <c r="E1" s="6" t="inlineStr">
        <is>
          <t>Owner</t>
        </is>
      </c>
      <c r="F1" s="6" t="inlineStr">
        <is>
          <t>Priority</t>
        </is>
      </c>
      <c r="G1" s="6" t="inlineStr">
        <is>
          <t>Status</t>
        </is>
      </c>
    </row>
    <row r="2">
      <c r="A2" s="2" t="inlineStr">
        <is>
          <t>Routing</t>
        </is>
      </c>
      <c r="B2" s="2" t="inlineStr">
        <is>
          <t>Add a Traefik host rule for the-workshop.trancendos.com</t>
        </is>
      </c>
      <c r="C2" s="2" t="inlineStr">
        <is>
          <t>Real DNS CNAME is provisioned by Terraform but was unreachable — Forgejo's only rule required Host=trancendos.com</t>
        </is>
      </c>
      <c r="D2" s="2" t="inlineStr">
        <is>
          <t>Added a redirect router (forgejo-subdomain, Host(`the-workshop.trancendos.com`)) that 301s to the canonical https://trancendos.com/the-workshop/ path — Forgejo's ROOT_URL is path-based, so serving it directly at the bare subdomain would have conflicted with its own generated links</t>
        </is>
      </c>
      <c r="E2" s="2" t="inlineStr">
        <is>
          <t>Larry Lowhammer</t>
        </is>
      </c>
      <c r="F2" s="2" t="inlineStr">
        <is>
          <t>P1</t>
        </is>
      </c>
      <c r="G2" s="2" t="inlineStr">
        <is>
          <t>Fixed</t>
        </is>
      </c>
    </row>
    <row r="3">
      <c r="A3" s="2" t="inlineStr">
        <is>
          <t>Auth</t>
        </is>
      </c>
      <c r="B3" s="2" t="inlineStr">
        <is>
          <t>Fix or replace Infinity's authorization_code token contract</t>
        </is>
      </c>
      <c r="C3" s="2" t="inlineStr">
        <is>
          <t>The issued opaque token cannot be validated by any of this service's own protected routes (/auth/verify, /auth/me) — a real, functional gap, not a doc error</t>
        </is>
      </c>
      <c r="D3" s="2" t="inlineStr">
        <is>
          <t>Either issue a signed JWT from the authorization_code grant too, or add a dedicated validation path for opaque tokens</t>
        </is>
      </c>
      <c r="E3" s="2" t="inlineStr">
        <is>
          <t>The Guardian (Anchor: Orb of Orisis)</t>
        </is>
      </c>
      <c r="F3" s="2" t="inlineStr">
        <is>
          <t>P1</t>
        </is>
      </c>
      <c r="G3" s="2" t="inlineStr">
        <is>
          <t>Not started</t>
        </is>
      </c>
    </row>
    <row r="4">
      <c r="A4" s="2" t="inlineStr">
        <is>
          <t>Auth</t>
        </is>
      </c>
      <c r="B4" s="2" t="inlineStr">
        <is>
          <t>Fix Infinity's refresh_token grant</t>
        </is>
      </c>
      <c r="C4" s="2" t="inlineStr">
        <is>
          <t>The refresh path queries a refresh_tokens table that is never created — refresh currently always fails</t>
        </is>
      </c>
      <c r="D4" s="2" t="inlineStr">
        <is>
          <t>Create the missing table/migration, or remove refresh_token support from the advertised grant types until it's implemented</t>
        </is>
      </c>
      <c r="E4" s="2" t="inlineStr">
        <is>
          <t>The Guardian (Anchor: Orb of Orisis)</t>
        </is>
      </c>
      <c r="F4" s="2" t="inlineStr">
        <is>
          <t>P1</t>
        </is>
      </c>
      <c r="G4" s="2" t="inlineStr">
        <is>
          <t>Not started</t>
        </is>
      </c>
    </row>
    <row r="5">
      <c r="A5" s="2" t="inlineStr">
        <is>
          <t>Observability</t>
        </is>
      </c>
      <c r="B5" s="2" t="inlineStr">
        <is>
          <t>Give The Observatory real persistence</t>
        </is>
      </c>
      <c r="C5" s="2" t="inlineStr">
        <is>
          <t>OBSERVATORY_DB_PATH is configured but never opened; all audit/metric data lives only in an in-process deque and is lost on every restart</t>
        </is>
      </c>
      <c r="D5" s="2" t="inlineStr">
        <is>
          <t>Wire the configured DB path into an actual SQLite writer in workers/observatory/service.py</t>
        </is>
      </c>
      <c r="E5" s="2" t="inlineStr">
        <is>
          <t>Norman Hawkins</t>
        </is>
      </c>
      <c r="F5" s="2" t="inlineStr">
        <is>
          <t>P1</t>
        </is>
      </c>
      <c r="G5" s="2" t="inlineStr">
        <is>
          <t>Not started</t>
        </is>
      </c>
    </row>
    <row r="6">
      <c r="A6" s="2" t="inlineStr">
        <is>
          <t>Automation</t>
        </is>
      </c>
      <c r="B6" s="2" t="inlineStr">
        <is>
          <t>Wire scripts/register_ea_workbook_services.py and scripts/post_deploy_verify.py into a real deploy step</t>
        </is>
      </c>
      <c r="C6" s="2" t="inlineStr">
        <is>
          <t>Both scripts exist and work (verified this session) but nothing in .forgejo/workflows/ calls either one — the CMDB doesn't drive live monitoring yet</t>
        </is>
      </c>
      <c r="D6" s="2" t="inlineStr">
        <is>
          <t>Added a verify-and-register-self-hosted job to deploy-self-hosted.yml that runs both scripts (--soft / continue-on-error, since the underlying Compose deploy step below still doesn't exist)</t>
        </is>
      </c>
      <c r="E6" s="2" t="inlineStr">
        <is>
          <t>Cornelius MacIntyre</t>
        </is>
      </c>
      <c r="F6" s="2" t="inlineStr">
        <is>
          <t>P2</t>
        </is>
      </c>
      <c r="G6" s="2" t="inlineStr">
        <is>
          <t>Fixed</t>
        </is>
      </c>
    </row>
    <row r="7">
      <c r="A7" s="2" t="inlineStr">
        <is>
          <t>Automation</t>
        </is>
      </c>
      <c r="B7" s="2" t="inlineStr">
        <is>
          <t>Make deploy-self-hosted.yml actually deploy workers/* via Docker Compose</t>
        </is>
      </c>
      <c r="C7" s="2" t="inlineStr">
        <is>
          <t>It triggers on workers/** changes but only runs flyctl for trancendos-backend/trancendos-bots — no docker compose up step exists for the self-hosted workers</t>
        </is>
      </c>
      <c r="D7" s="2" t="inlineStr">
        <is>
          <t>Add a real Compose deploy step (or document the manual host-level step explicitly as the real process)</t>
        </is>
      </c>
      <c r="E7" s="2" t="inlineStr">
        <is>
          <t>Cornelius MacIntyre</t>
        </is>
      </c>
      <c r="F7" s="2" t="inlineStr">
        <is>
          <t>P2</t>
        </is>
      </c>
      <c r="G7" s="2" t="inlineStr">
        <is>
          <t>Not started</t>
        </is>
      </c>
    </row>
    <row r="8">
      <c r="A8" s="2" t="inlineStr">
        <is>
          <t>Scaling</t>
        </is>
      </c>
      <c r="B8" s="2" t="inlineStr">
        <is>
          <t>Fix The Digital Grid's autoscaling</t>
        </is>
      </c>
      <c r="C8" s="2" t="inlineStr">
        <is>
          <t>AutoScalingEnabled=TRUE (max 3) but both the fixed container_name and the fixed 8034:8034 host port publish block more than one replica today</t>
        </is>
      </c>
      <c r="D8" s="2" t="inlineStr">
        <is>
          <t>Remove the fixed container_name and route traffic to replicas via Traefik service discovery instead of the published host port</t>
        </is>
      </c>
      <c r="E8" s="2" t="inlineStr">
        <is>
          <t>Tyler Towncroft</t>
        </is>
      </c>
      <c r="F8" s="2" t="inlineStr">
        <is>
          <t>P2</t>
        </is>
      </c>
      <c r="G8" s="2" t="inlineStr">
        <is>
          <t>Not started</t>
        </is>
      </c>
    </row>
    <row r="9">
      <c r="A9" s="2" t="inlineStr">
        <is>
          <t>Coverage</t>
        </is>
      </c>
      <c r="B9" s="2" t="inlineStr">
        <is>
          <t>Expand this matrix beyond the 8 deep-verified components</t>
        </is>
      </c>
      <c r="C9" s="2" t="inlineStr">
        <is>
          <t>CLAUDE.md documents ~90 real services; this workbook and the EA CSV workbook both cover only 6 anchors + 2 infra components at full verification depth</t>
        </is>
      </c>
      <c r="D9" s="2" t="inlineStr">
        <is>
          <t>Add one verified row per additional service across all sheets here, following the same code-verification standard used for the anchors — the All Workers (Broad Scan) sheet is a structural first pass, not a substitute for that depth</t>
        </is>
      </c>
      <c r="E9" s="2" t="inlineStr">
        <is>
          <t>Andrew Porter</t>
        </is>
      </c>
      <c r="F9" s="2" t="inlineStr">
        <is>
          <t>P3</t>
        </is>
      </c>
      <c r="G9" s="2" t="inlineStr">
        <is>
          <t>In progress</t>
        </is>
      </c>
    </row>
    <row r="10">
      <c r="A10" s="2" t="inlineStr">
        <is>
          <t>Architecture</t>
        </is>
      </c>
      <c r="B10" s="2" t="inlineStr">
        <is>
          <t>Resolve the duplicate 'Void' implementation</t>
        </is>
      </c>
      <c r="C10" s="2" t="inlineStr">
        <is>
          <t>workers/the-void/ (289 lines, includes a Rust crypto extension, last touched in commit 634962c) implements the same AES-GCM vault concept as workers/vault-service/ (803 lines, the one actually wired into docker-compose.production.yml and documented throughout this workbook) — but the-void/ is not registered in compose at all and is not deployed anywhere</t>
        </is>
      </c>
      <c r="D10" s="2" t="inlineStr">
        <is>
          <t>A human needs to decide: is the-void/ an abandoned earlier attempt safe to remove, or a newer implementation meant to eventually replace vault-service/? Do not delete either without that decision</t>
        </is>
      </c>
      <c r="E10" s="2" t="inlineStr">
        <is>
          <t>Prometheus</t>
        </is>
      </c>
      <c r="F10" s="2" t="inlineStr">
        <is>
          <t>P2</t>
        </is>
      </c>
      <c r="G10" s="2" t="inlineStr">
        <is>
          <t>Not started</t>
        </is>
      </c>
    </row>
    <row r="11">
      <c r="A11" s="2" t="inlineStr">
        <is>
          <t>Governance</t>
        </is>
      </c>
      <c r="B11" s="2" t="inlineStr">
        <is>
          <t>Merge PR #221</t>
        </is>
      </c>
      <c r="C11" s="2" t="inlineStr">
        <is>
          <t>This entire matrix, the EA CSV workbook, and all the real bugfixes found this session live on an open, unmerged PR</t>
        </is>
      </c>
      <c r="D11" s="2" t="inlineStr">
        <is>
          <t>Get CI green and merge claude/platform-context-review-ieg1rn to main</t>
        </is>
      </c>
      <c r="E11" s="2" t="inlineStr">
        <is>
          <t>Andrew Porter</t>
        </is>
      </c>
      <c r="F11" s="2" t="inlineStr">
        <is>
          <t>P2</t>
        </is>
      </c>
      <c r="G11" s="2" t="inlineStr">
        <is>
          <t>Not started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5" customWidth="1" min="1" max="1"/>
    <col width="60" customWidth="1" min="2" max="2"/>
    <col width="16" customWidth="1" min="3" max="3"/>
    <col width="14" customWidth="1" min="4" max="4"/>
  </cols>
  <sheetData>
    <row r="1">
      <c r="A1" s="5" t="inlineStr">
        <is>
          <t>Governance Checks (live formulas — recalculate in Excel/LibreOffice)</t>
        </is>
      </c>
    </row>
    <row r="3">
      <c r="A3" s="6" t="inlineStr">
        <is>
          <t>Check</t>
        </is>
      </c>
      <c r="B3" s="6" t="inlineStr">
        <is>
          <t>Live Formula</t>
        </is>
      </c>
      <c r="C3" s="6" t="inlineStr">
        <is>
          <t>Current Result</t>
        </is>
      </c>
      <c r="D3" s="6" t="inlineStr">
        <is>
          <t>Pass Target</t>
        </is>
      </c>
    </row>
    <row r="4">
      <c r="A4" s="2" t="inlineStr">
        <is>
          <t>Every component has a named owner</t>
        </is>
      </c>
      <c r="B4">
        <f>COUNTIF(Services!G2:G100,"")</f>
        <v/>
      </c>
      <c r="D4" t="n">
        <v>0</v>
      </c>
    </row>
    <row r="5">
      <c r="A5" s="2" t="inlineStr">
        <is>
          <t>Every component has a Security row</t>
        </is>
      </c>
      <c r="B5">
        <f>COUNTA(Security!A2:A100)-COUNTA(Services!A2:A100)</f>
        <v/>
      </c>
      <c r="D5" t="n">
        <v>0</v>
      </c>
    </row>
    <row r="6">
      <c r="A6" s="2" t="inlineStr">
        <is>
          <t>Every component has a Deployment row</t>
        </is>
      </c>
      <c r="B6">
        <f>COUNTA(Deployment!A2:A100)-COUNTA(Services!A2:A100)</f>
        <v/>
      </c>
      <c r="D6" t="n">
        <v>0</v>
      </c>
    </row>
    <row r="7">
      <c r="A7" s="2" t="inlineStr">
        <is>
          <t>Critical dependencies have a recovery strategy filled in</t>
        </is>
      </c>
      <c r="B7">
        <f>COUNTIFS(Dependencies!F2:F100,"Critical",Dependencies!G2:G100,"")</f>
        <v/>
      </c>
      <c r="D7" t="n">
        <v>0</v>
      </c>
    </row>
    <row r="8">
      <c r="A8" s="2" t="inlineStr">
        <is>
          <t>P1 real defects still open</t>
        </is>
      </c>
      <c r="B8">
        <f>COUNTIFS('Improvement Roadmap'!F2:F100,"P1",'Improvement Roadmap'!G2:G100,"Not started")</f>
        <v/>
      </c>
      <c r="D8" t="n">
        <v>0</v>
      </c>
    </row>
    <row r="9">
      <c r="A9" s="2" t="inlineStr">
        <is>
          <t>Public endpoints without TLS</t>
        </is>
      </c>
      <c r="B9">
        <f>COUNTIFS(Endpoints!I2:I100,"Public",Endpoints!G2:G100,"No")</f>
        <v/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2026-07-17T00:28:20Z</dcterms:created>
  <dcterms:modified xsi:type="dcterms:W3CDTF">2026-07-17T00:28:20Z</dcterms:modified>
</cp:coreProperties>
</file>