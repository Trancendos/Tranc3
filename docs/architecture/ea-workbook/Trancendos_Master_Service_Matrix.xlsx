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All Workers (Broad Scan)" sheetId="12" state="visible" r:id="rId12"/>
    <sheet name="Improvement Roadmap" sheetId="13" state="visible" r:id="rId13"/>
    <sheet name="Governance 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301-redirects to the canonical path via the forgejo-subdomain router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Host=the-workshop.trancendos.com is handled by a separate router (forgejo-subdomain) that 301-redirects to this path — see RTE-006b</t>
        </is>
      </c>
    </row>
    <row r="8">
      <c r="A8" s="2" t="inlineStr">
        <is>
          <t>RTE-006b</t>
        </is>
      </c>
      <c r="B8" s="2" t="inlineStr">
        <is>
          <t>Traefik</t>
        </is>
      </c>
      <c r="C8" s="2" t="inlineStr">
        <is>
          <t>The Workshop</t>
        </is>
      </c>
      <c r="D8" s="2" t="inlineStr">
        <is>
          <t>HTTP (internal)</t>
        </is>
      </c>
      <c r="E8" s="2" t="inlineStr">
        <is>
          <t>HTTPS (301 redirect)</t>
        </is>
      </c>
      <c r="F8" s="2" t="n">
        <v>3000</v>
      </c>
      <c r="G8" s="2" t="inlineStr">
        <is>
          <t>Internal</t>
        </is>
      </c>
      <c r="H8" s="2" t="inlineStr">
        <is>
          <t>Allow</t>
        </is>
      </c>
      <c r="I8" s="2" t="inlineStr">
        <is>
          <t>Host(`the-workshop.trancendos.com`), middlewares=forgejo-subdomain-redirect, tls.certresolver=letsencrypt</t>
        </is>
      </c>
      <c r="J8" s="2" t="inlineStr">
        <is>
          <t>forgejo-subdomain router — 301s to https://trancendos.com/the-workshop/ since Forgejo's ROOT_URL is path-based and would conflict with its own generated links if served directly at this subdomain</t>
        </is>
      </c>
    </row>
    <row r="9">
      <c r="A9" s="2" t="inlineStr">
        <is>
          <t>RTE-007</t>
        </is>
      </c>
      <c r="B9" s="2" t="inlineStr">
        <is>
          <t>Traefik</t>
        </is>
      </c>
      <c r="C9" s="2" t="inlineStr">
        <is>
          <t>The Observatory</t>
        </is>
      </c>
      <c r="D9" s="2" t="inlineStr">
        <is>
          <t>HTTP (internal)</t>
        </is>
      </c>
      <c r="E9" s="2" t="inlineStr">
        <is>
          <t>HTTP</t>
        </is>
      </c>
      <c r="F9" s="2" t="n">
        <v>8065</v>
      </c>
      <c r="G9" s="2" t="inlineStr">
        <is>
          <t>Internal</t>
        </is>
      </c>
      <c r="H9" s="2" t="inlineStr">
        <is>
          <t>Allow</t>
        </is>
      </c>
      <c r="I9" s="2" t="inlineStr">
        <is>
          <t>observatory container, OBSERVATORY_PORT env (fixed this session)</t>
        </is>
      </c>
      <c r="J9" s="2" t="inlineStr">
        <is>
          <t>Dockerfile CMD/HEALTHCHECK previously hardcoded 8040, ignoring compose's OBSERVATORY_PORT=8065 — fixed</t>
        </is>
      </c>
    </row>
    <row r="10">
      <c r="A10" s="2" t="inlineStr">
        <is>
          <t>RTE-008</t>
        </is>
      </c>
      <c r="B10" s="2" t="inlineStr">
        <is>
          <t>health-aggregator</t>
        </is>
      </c>
      <c r="C10" s="2" t="inlineStr">
        <is>
          <t>All 6 anchor services</t>
        </is>
      </c>
      <c r="D10" s="2" t="inlineStr">
        <is>
          <t>HTTP GET /health</t>
        </is>
      </c>
      <c r="E10" s="2" t="inlineStr">
        <is>
          <t>HTTP</t>
        </is>
      </c>
      <c r="F10" s="2" t="inlineStr">
        <is>
          <t>varies</t>
        </is>
      </c>
      <c r="G10" s="2" t="inlineStr">
        <is>
          <t>Internal</t>
        </is>
      </c>
      <c r="H10" s="2" t="inlineStr">
        <is>
          <t>Allow</t>
        </is>
      </c>
      <c r="I10" s="2" t="inlineStr">
        <is>
          <t>SERVICE_REGISTRY in workers/health-aggregator/worker.py</t>
        </is>
      </c>
      <c r="J10" s="2" t="inlineStr">
        <is>
          <t>Polls every 30s; port mapping for the P3 block was wrong for 11 services, fixed this session</t>
        </is>
      </c>
    </row>
    <row r="11">
      <c r="A11" s="2" t="inlineStr">
        <is>
          <t>RTE-009</t>
        </is>
      </c>
      <c r="B11" s="2" t="inlineStr">
        <is>
          <t>Worker-to-worker (any)</t>
        </is>
      </c>
      <c r="C11" s="2" t="inlineStr">
        <is>
          <t>Any internal worker</t>
        </is>
      </c>
      <c r="D11" s="2" t="inlineStr">
        <is>
          <t>mTLS</t>
        </is>
      </c>
      <c r="E11" s="2" t="inlineStr">
        <is>
          <t>HTTPS</t>
        </is>
      </c>
      <c r="F11" s="2" t="n">
        <v>8443</v>
      </c>
      <c r="G11" s="2" t="inlineStr">
        <is>
          <t>Internal (mTLS)</t>
        </is>
      </c>
      <c r="H11" s="2" t="inlineStr">
        <is>
          <t>Allow</t>
        </is>
      </c>
      <c r="I11" s="2" t="inlineStr">
        <is>
          <t>entryPoints.internal in infra/traefik/traefik.yml, TLSOption requires client cert signed by internal-ca.pem</t>
        </is>
      </c>
      <c r="J11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301-redirects to canonical path</t>
        </is>
      </c>
      <c r="J5" s="2" t="inlineStr">
        <is>
          <t>Real DNS record provisioned by Terraform; the forgejo-subdomain Traefik router matches this Host header and 301-redirects to https://trancendos.com/the-workshop/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  <row r="8">
      <c r="A8" s="2" t="inlineStr">
        <is>
          <t>CHG-007</t>
        </is>
      </c>
      <c r="B8" s="2" t="inlineStr">
        <is>
          <t>2026-07-17</t>
        </is>
      </c>
      <c r="C8" s="2" t="inlineStr">
        <is>
          <t>pending</t>
        </is>
      </c>
      <c r="D8" s="2" t="inlineStr">
        <is>
          <t>Fixed cubic-dev-ai review batch: the register/verify loop never actually worked</t>
        </is>
      </c>
      <c r="E8" s="2" t="inlineStr">
        <is>
          <t>health-aggregator's SERVICE_REGISTRY built health_url from 'localhost', which inside its own bridge-networked container only ever reached itself — every static check silently probed as down since deployment. Dynamically-registered services (POST /services) were never included in the poll loop, /status, /predict, or /metrics at all. register_ea_workbook_services.py wrote loopback URLs unusable from health-aggregator's container, and deploy-self-hosted.yml's verify/register steps ran from act-runner, which isn't on tranc3-net and can't reach compose-published ports via 'localhost' either. Fixed: health-aggregator now resolves every target (static + dynamic) via Docker service DNS; register/verify scripts default to compose service names instead of localhost; act-runner joins tranc3-net (now an explicitly-named external network) so those CI steps can actually reach the fleet. Also fixed: build_master_service_matrix.py used a line-regex for compose ports that missed every inline-array `ports: [...]` service (silently blanked ~15 P3 workers' ports); openpyxl was an undeclared dependency; Workshop route/endpoint rows still described the pre-redirect-fix state; Governance Checks' Current Result column was never populated.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>
        <is>
          <t>8016</t>
        </is>
      </c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>
        <is>
          <t>8025</t>
        </is>
      </c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>
        <is>
          <t>8023</t>
        </is>
      </c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>
        <is>
          <t>8028</t>
        </is>
      </c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>
        <is>
          <t>8024</t>
        </is>
      </c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>
        <is>
          <t>8021</t>
        </is>
      </c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>
        <is>
          <t>8053</t>
        </is>
      </c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>
        <is>
          <t>8018</t>
        </is>
      </c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>
        <is>
          <t>8030</t>
        </is>
      </c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>
        <is>
          <t>8027</t>
        </is>
      </c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>
        <is>
          <t>8029</t>
        </is>
      </c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>
        <is>
          <t>8066</t>
        </is>
      </c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>
        <is>
          <t>8032</t>
        </is>
      </c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>
        <is>
          <t>8067</t>
        </is>
      </c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>
        <is>
          <t>8033</t>
        </is>
      </c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8004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>
        <is>
          <t>8065</t>
        </is>
      </c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>
        <is>
          <t>8022</t>
        </is>
      </c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>
        <is>
          <t>8026</t>
        </is>
      </c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>
        <is>
          <t>8099</t>
        </is>
      </c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>
        <is>
          <t>8093</t>
        </is>
      </c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>
        <is>
          <t>8017</t>
        </is>
      </c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>
        <is>
          <t>8035</t>
        </is>
      </c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>
        <is>
          <t>8019</t>
        </is>
      </c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>
        <is>
          <t>8020</t>
        </is>
      </c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>
        <is>
          <t>8031</t>
        </is>
      </c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>
        <is>
          <t>8059</t>
        </is>
      </c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>
        <is>
          <t>8038</t>
        </is>
      </c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>
        <is>
          <t>8060</t>
        </is>
      </c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>
        <is>
          <t>8034</t>
        </is>
      </c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C4">
        <f>IF(B4=D4,"PASS","FAIL")</f>
        <v/>
      </c>
      <c r="D4" t="n">
        <v>0</v>
      </c>
    </row>
    <row r="5">
      <c r="A5" s="2" t="inlineStr">
        <is>
          <t>Every component has a Security row</t>
        </is>
      </c>
      <c r="B5">
        <f>SUMPRODUCT((Services!C2:C100&lt;&gt;"")*ISNA(MATCH(Services!C2:C100,Security!A2:A100,0)))</f>
        <v/>
      </c>
      <c r="C5">
        <f>IF(B5=D5,"PASS","FAIL")</f>
        <v/>
      </c>
      <c r="D5" t="n">
        <v>0</v>
      </c>
    </row>
    <row r="6">
      <c r="A6" s="2" t="inlineStr">
        <is>
          <t>Every component has a Deployment row</t>
        </is>
      </c>
      <c r="B6">
        <f>SUMPRODUCT((Services!C2:C100&lt;&gt;"")*ISNA(MATCH(Services!C2:C100,Deployment!A2:A100,0)))</f>
        <v/>
      </c>
      <c r="C6">
        <f>IF(B6=D6,"PASS","FAIL")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C7">
        <f>IF(B7=D7,"PASS","FAIL")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C8">
        <f>IF(B8=D8,"PASS","FAIL")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C9">
        <f>IF(B9=D9,"PASS","FAIL")</f>
        <v/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2026-07-17T06:36:48Z</dcterms:created>
  <dcterms:modified xsi:type="dcterms:W3CDTF">2026-07-17T06:36:48Z</dcterms:modified>
</cp:coreProperties>
</file>