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EA Workbook Services" sheetId="12" state="visible" r:id="rId12"/>
    <sheet name="Access Control Review" sheetId="13" state="visible" r:id="rId13"/>
    <sheet name="All Workers (Broad Scan)" sheetId="14" state="visible" r:id="rId14"/>
    <sheet name="Improvement Roadmap" sheetId="15" state="visible" r:id="rId15"/>
    <sheet name="Governance Check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26" customWidth="1" min="3" max="3"/>
    <col width="12" customWidth="1" min="4" max="4"/>
    <col width="12" customWidth="1" min="5" max="5"/>
    <col width="16" customWidth="1" min="6" max="6"/>
    <col width="90" customWidth="1" min="7" max="7"/>
  </cols>
  <sheetData>
    <row r="1">
      <c r="A1" s="5" t="inlineStr">
        <is>
          <t>EA Workbook Services — mirrored from docs/architecture/ea-workbook/*.csv</t>
        </is>
      </c>
    </row>
    <row r="2" ht="45" customHeight="1">
      <c r="A2" s="2" t="inlineStr">
        <is>
          <t>Every row here is a literal copy of a docs/architecture/ea-workbook/02_service_inventory.csv row (ZeroCostStatus from 18_cost_and_revenue_review.csv) — the CSVs are the source of truth; this sheet exists so a service's owner, status, and known issues are visible without leaving this workbook. Re-run scripts/build_master_service_matrix.py after the CSVs change.</t>
        </is>
      </c>
    </row>
    <row r="4">
      <c r="A4" s="6" t="inlineStr">
        <is>
          <t>ServiceID</t>
        </is>
      </c>
      <c r="B4" s="6" t="inlineStr">
        <is>
          <t>ServiceName</t>
        </is>
      </c>
      <c r="C4" s="6" t="inlineStr">
        <is>
          <t>Owner</t>
        </is>
      </c>
      <c r="D4" s="6" t="inlineStr">
        <is>
          <t>Status</t>
        </is>
      </c>
      <c r="E4" s="6" t="inlineStr">
        <is>
          <t>Criticality</t>
        </is>
      </c>
      <c r="F4" s="6" t="inlineStr">
        <is>
          <t>ZeroCostStatus</t>
        </is>
      </c>
      <c r="G4" s="6" t="inlineStr">
        <is>
          <t>Notes</t>
        </is>
      </c>
    </row>
    <row r="5">
      <c r="A5" s="2" t="inlineStr">
        <is>
          <t>SRV-ACADEMY-001</t>
        </is>
      </c>
      <c r="B5" s="2" t="inlineStr">
        <is>
          <t>The Academy</t>
        </is>
      </c>
      <c r="C5" s="2" t="inlineStr">
        <is>
          <t>Shimshi</t>
        </is>
      </c>
      <c r="D5" s="2" t="inlineStr">
        <is>
          <t>Active</t>
        </is>
      </c>
      <c r="E5" s="2" t="inlineStr">
        <is>
          <t>CRT-002</t>
        </is>
      </c>
      <c r="F5" s="2" t="inlineStr">
        <is>
          <t>Verified</t>
        </is>
      </c>
      <c r="G5" s="2" t="inlineStr">
        <is>
          <t>the-academy worker port 8056 - verified /health route (via @_router.get), code-level PORT default matches Dockerfile EXPOSE/CMD and compose's PORT=8056 - Owner Shimshi per CLAUDE.md's Named Services table - ComplianceFrameworks includes GDPR given LMS/education services typically handle learner PII - SLA/RPO/RTO/DataClassification are the workbook's existing P-tier default pattern</t>
        </is>
      </c>
    </row>
    <row r="6">
      <c r="A6" s="2" t="inlineStr">
        <is>
          <t>SRV-ADMIN-001</t>
        </is>
      </c>
      <c r="B6" s="2" t="inlineStr">
        <is>
          <t>Infinity Admin</t>
        </is>
      </c>
      <c r="C6" s="2" t="inlineStr">
        <is>
          <t>The Guardian (Anchor: Orb of Orisis)</t>
        </is>
      </c>
      <c r="D6" s="2" t="inlineStr">
        <is>
          <t>Active</t>
        </is>
      </c>
      <c r="E6" s="2" t="inlineStr">
        <is>
          <t>CRT-001</t>
        </is>
      </c>
      <c r="F6" s="2" t="inlineStr">
        <is>
          <t>Verified</t>
        </is>
      </c>
      <c r="G6" s="2" t="inlineStr">
        <is>
          <t>CORRECTION: this service was actually broken by TWO stacked bugs, not verified-working as previously noted. (1) The Dockerfile only COPYd worker.py, but the real code is split across 7 files (config/database/models/service/router/main/worker.py) - only 1 of 7 was ever in the image, so 'from main import app' itself would fail. (2) service.py/router.py also import Dimensional.dimensionals and Dimensional.infinity.* with no Dimensional/ COPY anywhere. Both confirmed via clean-room repro (JWT_SECRET RuntimeError masked the deeper ModuleNotFoundError until env vars were set), then FIXED - Dockerfile now copies all 7 worker files plus Dimensional/ - re-verified working end-to-end - infinity-admin-service port 8044 - SLA/RPO/RTO/DataClassification are the workbook's existing P1-tier default pattern, not independently measured for this service yet</t>
        </is>
      </c>
    </row>
    <row r="7">
      <c r="A7" s="2" t="inlineStr">
        <is>
          <t>SRV-AI-001</t>
        </is>
      </c>
      <c r="B7" s="2" t="inlineStr">
        <is>
          <t>Infinity AI</t>
        </is>
      </c>
      <c r="C7" s="2" t="inlineStr">
        <is>
          <t>Cornelius MacIntyre</t>
        </is>
      </c>
      <c r="D7" s="2" t="inlineStr">
        <is>
          <t>Active</t>
        </is>
      </c>
      <c r="E7" s="2" t="inlineStr">
        <is>
          <t>CRT-001</t>
        </is>
      </c>
      <c r="F7" s="2" t="inlineStr">
        <is>
          <t>Verified</t>
        </is>
      </c>
      <c r="G7" s="2" t="inlineStr">
        <is>
          <t>infinity-ai worker port 8009 - verified /health route in workers/infinity-ai/router.py - owner is Luminous's Lead AI per CLAUDE.md's legacy CF worker mapping (infinity-ai-api to Luminous/AI API) - SLA/RPO/RTO/DataClassification are the workbook's existing P1-tier default pattern (matches SRV-SPARK-001), not independently measured for this service yet</t>
        </is>
      </c>
    </row>
    <row r="8">
      <c r="A8" s="2" t="inlineStr">
        <is>
          <t>SRV-ANALYTICS-001</t>
        </is>
      </c>
      <c r="B8" s="2" t="inlineStr">
        <is>
          <t>Analytics Service</t>
        </is>
      </c>
      <c r="C8" s="2" t="inlineStr">
        <is>
          <t>Norman Hawkins</t>
        </is>
      </c>
      <c r="D8" s="2" t="inlineStr">
        <is>
          <t>Active</t>
        </is>
      </c>
      <c r="E8" s="2" t="inlineStr">
        <is>
          <t>CRT-001</t>
        </is>
      </c>
      <c r="F8" s="2" t="inlineStr">
        <is>
          <t>Verified</t>
        </is>
      </c>
      <c r="G8" s="2" t="inlineStr">
        <is>
          <t>analytics-service worker port 8016 - Dockerfile CMD hardcodes --port 8016, overriding the ANALYTICS_PORT-based code default of 8016 (same value, no actual mismatch) - owner is The Observatory's Lead AI per PLATFORM_ENTITIES.md's worker-map table - SLA/RPO/RTO/DataClassification are the workbook's existing P-tier default pattern, not independently measured</t>
        </is>
      </c>
    </row>
    <row r="9">
      <c r="A9" s="2" t="inlineStr">
        <is>
          <t>SRV-APIGW-001</t>
        </is>
      </c>
      <c r="B9" s="2" t="inlineStr">
        <is>
          <t>API Gateway (self-hosted worker)</t>
        </is>
      </c>
      <c r="C9" s="2" t="inlineStr">
        <is>
          <t>The Guardian (Anchor: Orb of Orisis)</t>
        </is>
      </c>
      <c r="D9" s="2" t="inlineStr">
        <is>
          <t>Active</t>
        </is>
      </c>
      <c r="E9" s="2" t="inlineStr">
        <is>
          <t>CRT-001</t>
        </is>
      </c>
      <c r="F9" s="2" t="inlineStr">
        <is>
          <t>Verified</t>
        </is>
      </c>
      <c r="G9" s="2" t="inlineStr">
        <is>
          <t>PREVIOUSLY MISSING from this workbook entirely - api-gateway worker port 8003, verified deployed via docker-compose.production.yml with JWT_SECRET/INTERNAL_SECRET plus URLs for auth/users/products/orders/payments/tranc3-ai. Found and FIXED a real deployment-breaking bug while adding it: worker.py had the same unconditional 'from Dimensional.sanitize import sanitize_for_log' out-of-build-context import already found in infinity-ai/infinity-ws/notifications/cdn-service/mlflow-service this session - vendored a local sanitize.py and updated the Dockerfile. Verified end-to-end with a clean-room import test (JWT_SECRET/INTERNAL_SECRET required at import time by design). Owner inferred as The Guardian (Infinity) since this is the self-hosted successor to the legacy trancendos-api-gateway CF Worker documented under Infinity's domain in CLAUDE.md - not table-confirmed</t>
        </is>
      </c>
    </row>
    <row r="10">
      <c r="A10" s="2" t="inlineStr">
        <is>
          <t>SRV-ARTIFACTORY-001</t>
        </is>
      </c>
      <c r="B10" s="2" t="inlineStr">
        <is>
          <t>The Artifactory</t>
        </is>
      </c>
      <c r="C10" s="2" t="inlineStr">
        <is>
          <t>Lunascene</t>
        </is>
      </c>
      <c r="D10" s="2" t="inlineStr">
        <is>
          <t>Active</t>
        </is>
      </c>
      <c r="E10" s="2" t="inlineStr">
        <is>
          <t>CRT-001</t>
        </is>
      </c>
      <c r="F10" s="2" t="inlineStr">
        <is>
          <t>Verified</t>
        </is>
      </c>
      <c r="G10" s="2" t="inlineStr">
        <is>
          <t>artifactory-service worker port 8047 - verified /health route present via docker-compose.production.yml healthcheck - SLA/RPO/RTO/DataClassification are the workbook's existing P-tier default pattern, not independently measured</t>
        </is>
      </c>
    </row>
    <row r="11">
      <c r="A11" s="2" t="inlineStr">
        <is>
          <t>SRV-AUDIT-001</t>
        </is>
      </c>
      <c r="B11" s="2" t="inlineStr">
        <is>
          <t>Audit Service</t>
        </is>
      </c>
      <c r="C11" s="2" t="inlineStr">
        <is>
          <t>Norman Hawkins</t>
        </is>
      </c>
      <c r="D11" s="2" t="inlineStr">
        <is>
          <t>Active</t>
        </is>
      </c>
      <c r="E11" s="2" t="inlineStr">
        <is>
          <t>CRT-001</t>
        </is>
      </c>
      <c r="F11" s="2" t="inlineStr">
        <is>
          <t>Not yet reviewed</t>
        </is>
      </c>
      <c r="G11" s="2" t="inlineStr">
        <is>
          <t>audit-service worker port 8025 - the code's own os.environ.get('PORT', 8017) default is wrong (8017 belongs to search-service), but Dockerfile CMD hardcodes --port 8025 so the container actually listens correctly (same pattern CLAUDE.md documents as resolved) - owner is The Observatory's Lead AI per PLATFORM_ENTITIES.md's worker-map table - SLA/RPO/RTO/DataClassification are the workbook's existing P-tier default pattern, not independently measured</t>
        </is>
      </c>
    </row>
    <row r="12">
      <c r="A12" s="2" t="inlineStr">
        <is>
          <t>SRV-BACKUP-001</t>
        </is>
      </c>
      <c r="B12" s="2" t="inlineStr">
        <is>
          <t>Backup Service</t>
        </is>
      </c>
      <c r="C12" s="2" t="inlineStr">
        <is>
          <t>Unmapped</t>
        </is>
      </c>
      <c r="D12" s="2" t="inlineStr">
        <is>
          <t>Active</t>
        </is>
      </c>
      <c r="E12" s="2" t="inlineStr">
        <is>
          <t>CRT-001</t>
        </is>
      </c>
      <c r="F12" s="2" t="inlineStr">
        <is>
          <t>Verified</t>
        </is>
      </c>
      <c r="G12" s="2" t="inlineStr">
        <is>
          <t>backup-service worker port 8078 - verified /health route (@app.get), all ports/paths consistent (code default, Dockerfile EXPOSE, compose all agree on 8078) - notably the ONLY worker checked this session whose docker-compose.production.yml build context is the repo root (context: .) rather than its own subdirectory, and its Dockerfile is correctly written to match (COPY workers/backup-service/... and COPY src/... paths, with a clear docstring explaining why) - a deliberately different but correctly-implemented pattern, not a bug - not one of the 43 named PLATFORM_ENTITIES.md locations and CLAUDE.md's own worker-map role text gives it no owning entity either, so Owner is genuinely Unmapped - CRT-001/tight SLA reflects that backup infrastructure failing silently is high-criticality by nature, not the P-tier default pattern</t>
        </is>
      </c>
    </row>
    <row r="13">
      <c r="A13" s="2" t="inlineStr">
        <is>
          <t>SRV-BASEMENT-001</t>
        </is>
      </c>
      <c r="B13" s="2" t="inlineStr">
        <is>
          <t>The Basement</t>
        </is>
      </c>
      <c r="C13" s="2" t="inlineStr">
        <is>
          <t>Gary Glowman (Glow-Worm)</t>
        </is>
      </c>
      <c r="D13" s="2" t="inlineStr">
        <is>
          <t>Active</t>
        </is>
      </c>
      <c r="E13" s="2" t="inlineStr">
        <is>
          <t>CRT-003</t>
        </is>
      </c>
      <c r="F13" s="2" t="inlineStr">
        <is>
          <t>Verified</t>
        </is>
      </c>
      <c r="G13" s="2" t="inlineStr">
        <is>
          <t>basement worker port 8068 - verified /health route (via @_router.get) - code-level PORT default (os.getenv("PORT") or "8088") does NOT match its actual Dockerfile EXPOSE (8068) or compose's PORT=8068 - same harmless dead-code-default class of bug as the-dutchy/tranceflow, not fixed - works correctly in practice because compose's explicit PORT env override always wins - Owner Gary Glowman (Glow-Worm) per CLAUDE.md, reporting up to The Observatory's Norman Hawkins as Tier2Prime since Basement is an archive of Observatory data - SLA/RTO relaxed to CRT-003 given this is an archival/cold-storage role, not the P1 default pattern</t>
        </is>
      </c>
    </row>
    <row r="14">
      <c r="A14" s="2" t="inlineStr">
        <is>
          <t>SRV-BLENDER-001</t>
        </is>
      </c>
      <c r="B14" s="2" t="inlineStr">
        <is>
          <t>Blender Worker</t>
        </is>
      </c>
      <c r="C14" s="2" t="inlineStr">
        <is>
          <t>Junior Cesar</t>
        </is>
      </c>
      <c r="D14" s="2" t="inlineStr">
        <is>
          <t>Active</t>
        </is>
      </c>
      <c r="E14" s="2" t="inlineStr">
        <is>
          <t>CRT-002</t>
        </is>
      </c>
      <c r="F14" s="2" t="inlineStr">
        <is>
          <t>Verified</t>
        </is>
      </c>
      <c r="G14" s="2" t="inlineStr">
        <is>
          <t>blender-worker port 8050 - verified /health route, code-level PORT default matches Dockerfile EXPOSE/CMD and compose's fixed 8050:8050 mapping exactly - no bug found - NOTE: this is the service occupying port 8050 that collides with dimensional-nexus-service's intended port, per SRV-DIMNEXUS-001's notes - Owner Junior Cesar per its own compose comment 'Headless 3D Rendering for TranceFlow' - MaxResponseTimeMs relaxed heavily for render workloads</t>
        </is>
      </c>
    </row>
    <row r="15">
      <c r="A15" s="2" t="inlineStr">
        <is>
          <t>SRV-BRIDGE-001</t>
        </is>
      </c>
      <c r="B15" s="2" t="inlineStr">
        <is>
          <t>Infinity Bridge</t>
        </is>
      </c>
      <c r="C15" s="2" t="inlineStr">
        <is>
          <t>The Guardian (Anchor: Orb of Orisis)</t>
        </is>
      </c>
      <c r="D15" s="2" t="inlineStr">
        <is>
          <t>Active</t>
        </is>
      </c>
      <c r="E15" s="2" t="inlineStr">
        <is>
          <t>CRT-001</t>
        </is>
      </c>
      <c r="F15" s="2" t="inlineStr">
        <is>
          <t>Verified</t>
        </is>
      </c>
      <c r="G15" s="2" t="inlineStr">
        <is>
          <t>infinity-bridge-service port 8070 - verified /health route in workers/infinity-bridge-service/worker.py - WORKER_PORT defaults to 8070 via INFINITY_BRIDGE_PORT env var, matches compose - SLA/RPO/RTO/DataClassification are the workbook's existing P1-tier default pattern, not independently measured for this service yet</t>
        </is>
      </c>
    </row>
    <row r="16">
      <c r="A16" s="2" t="inlineStr">
        <is>
          <t>SRV-BULLMQ-001</t>
        </is>
      </c>
      <c r="B16" s="2" t="inlineStr">
        <is>
          <t>BullMQ Queue Service</t>
        </is>
      </c>
      <c r="C16" s="2" t="inlineStr">
        <is>
          <t>The Queen</t>
        </is>
      </c>
      <c r="D16" s="2" t="inlineStr">
        <is>
          <t>Active</t>
        </is>
      </c>
      <c r="E16" s="2" t="inlineStr">
        <is>
          <t>CRT-002</t>
        </is>
      </c>
      <c r="F16" s="2" t="inlineStr">
        <is>
          <t>Verified</t>
        </is>
      </c>
      <c r="G16" s="2" t="inlineStr">
        <is>
          <t>bullmq-queue-service (Node.js/TypeScript) port 8092 - verified /health route and compose wiring (PORT=8092, depends_on valkey) - a TypeScript rewrite/scaffold distinct from queue-service (Python, port 8022) - not independently verified beyond route+compose (no npm install/import test run, unlike the Python services this session) - Owner The Queen per its own compose comment 'for The HIVE'</t>
        </is>
      </c>
    </row>
    <row r="17">
      <c r="A17" s="2" t="inlineStr">
        <is>
          <t>SRV-CACHE-001</t>
        </is>
      </c>
      <c r="B17" s="2" t="inlineStr">
        <is>
          <t>Cache Service</t>
        </is>
      </c>
      <c r="C17" s="2" t="inlineStr">
        <is>
          <t>The Queen</t>
        </is>
      </c>
      <c r="D17" s="2" t="inlineStr">
        <is>
          <t>Active</t>
        </is>
      </c>
      <c r="E17" s="2" t="inlineStr">
        <is>
          <t>CRT-001</t>
        </is>
      </c>
      <c r="F17" s="2" t="inlineStr">
        <is>
          <t>Not yet reviewed</t>
        </is>
      </c>
      <c r="G17" s="2" t="inlineStr">
        <is>
          <t>cache-service worker port 8023 (CACHE_PORT env var, matches code default) - owner is The HIVE's Lead AI per PLATFORM_ENTITIES.md's worker-map table - SLA/RPO/RTO/DataClassification are the workbook's existing P-tier default pattern, not independently measured</t>
        </is>
      </c>
    </row>
    <row r="18">
      <c r="A18" s="2" t="inlineStr">
        <is>
          <t>SRV-CDN-001</t>
        </is>
      </c>
      <c r="B18" s="2" t="inlineStr">
        <is>
          <t>CDN Service</t>
        </is>
      </c>
      <c r="C18" s="2" t="inlineStr">
        <is>
          <t>Voxx</t>
        </is>
      </c>
      <c r="D18" s="2" t="inlineStr">
        <is>
          <t>Active</t>
        </is>
      </c>
      <c r="E18" s="2" t="inlineStr">
        <is>
          <t>CRT-001</t>
        </is>
      </c>
      <c r="F18" s="2" t="inlineStr">
        <is>
          <t>Not yet reviewed</t>
        </is>
      </c>
      <c r="G18" s="2" t="inlineStr">
        <is>
          <t>CORRECTION: was confirmed broken this session - worker.py unconditionally imported Dimensional.path_validation with no local vendoring, isolated build context - fixed by vendoring path_validation.py and updating the Dockerfile - re-verified working - cdn-service worker port 8028 - Dockerfile CMD hardcodes --port 8028, matching the code's own PORT-env default - owner is The Studio's Lead AI per PLATFORM_ENTITIES.md's worker-map table - SLA/RPO/RTO/DataClassification are the workbook's existing P-tier default pattern, not independently measured</t>
        </is>
      </c>
    </row>
    <row r="19">
      <c r="A19" s="2" t="inlineStr">
        <is>
          <t>SRV-CHAOSPARTY-001</t>
        </is>
      </c>
      <c r="B19" s="2" t="inlineStr">
        <is>
          <t>The Chaos Party</t>
        </is>
      </c>
      <c r="C19" s="2" t="inlineStr">
        <is>
          <t>The Mad Hatter</t>
        </is>
      </c>
      <c r="D19" s="2" t="inlineStr">
        <is>
          <t>Active</t>
        </is>
      </c>
      <c r="E19" s="2" t="inlineStr">
        <is>
          <t>CRT-002</t>
        </is>
      </c>
      <c r="F19" s="2" t="inlineStr">
        <is>
          <t>Verified</t>
        </is>
      </c>
      <c r="G19" s="2" t="inlineStr">
        <is>
          <t>chaos-party worker port 8079 - verified /health route (via @_router.get) - code-level PORT default (os.getenv("PORT") or "8063") does NOT match its actual Dockerfile EXPOSE (8079) or compose's PORT=8079 - same harmless dead-code-default class of bug, not fixed - Owner The Mad Hatter per CLAUDE.md's Named Services table - SLA/RPO/RTO/DataClassification are the workbook's existing P-tier default pattern</t>
        </is>
      </c>
    </row>
    <row r="20">
      <c r="A20" s="2" t="inlineStr">
        <is>
          <t>SRV-CONFIG-001</t>
        </is>
      </c>
      <c r="B20" s="2" t="inlineStr">
        <is>
          <t>Config Service</t>
        </is>
      </c>
      <c r="C20" s="2" t="inlineStr">
        <is>
          <t>Prometheus</t>
        </is>
      </c>
      <c r="D20" s="2" t="inlineStr">
        <is>
          <t>Active</t>
        </is>
      </c>
      <c r="E20" s="2" t="inlineStr">
        <is>
          <t>CRT-001</t>
        </is>
      </c>
      <c r="F20" s="2" t="inlineStr">
        <is>
          <t>Not yet reviewed</t>
        </is>
      </c>
      <c r="G20" s="2" t="inlineStr">
        <is>
          <t>config-service worker port 8024 - Dockerfile CMD hardcodes --port 8024, matching the code's own PORT-env default - owner is The Void's Lead AI per PLATFORM_ENTITIES.md's worker-map table - SLA/RPO/RTO/DataClassification are the workbook's existing P-tier default pattern, not independently measured</t>
        </is>
      </c>
    </row>
    <row r="21">
      <c r="A21" s="2" t="inlineStr">
        <is>
          <t>SRV-CRANBANIA-001</t>
        </is>
      </c>
      <c r="B21" s="2" t="inlineStr">
        <is>
          <t>CranBania (The Town Hall)</t>
        </is>
      </c>
      <c r="C21" s="2" t="inlineStr">
        <is>
          <t>Tristuran</t>
        </is>
      </c>
      <c r="D21" s="2" t="inlineStr">
        <is>
          <t>Active</t>
        </is>
      </c>
      <c r="E21" s="2" t="inlineStr">
        <is>
          <t>CRT-002</t>
        </is>
      </c>
      <c r="F21" s="2" t="inlineStr">
        <is>
          <t>Not yet reviewed</t>
        </is>
      </c>
      <c r="G21" s="2" t="inlineStr">
        <is>
          <t>cranbania is a git submodule (https://github.com/Trancendos/CranBania per CLAUDE.md) - not checked out in this environment (workers/cranbania/ is empty locally), so no code-level verification was possible this session, only the compose block itself (port 8071:8071, MCP auto-registration with The Spark, Magna Carta MC-RULE-007 governance gate, Forgejo webhook integration) - Owner Tristuran per CLAUDE.md's Named Services table (The Town Hall) - genuinely unverified beyond what compose declares, flagged honestly rather than assumed working</t>
        </is>
      </c>
    </row>
    <row r="22">
      <c r="A22" s="2" t="inlineStr">
        <is>
          <t>SRV-CRON-001</t>
        </is>
      </c>
      <c r="B22" s="2" t="inlineStr">
        <is>
          <t>Cron Service</t>
        </is>
      </c>
      <c r="C22" s="2" t="inlineStr">
        <is>
          <t>Chronos</t>
        </is>
      </c>
      <c r="D22" s="2" t="inlineStr">
        <is>
          <t>Active</t>
        </is>
      </c>
      <c r="E22" s="2" t="inlineStr">
        <is>
          <t>CRT-001</t>
        </is>
      </c>
      <c r="F22" s="2" t="inlineStr">
        <is>
          <t>Not yet reviewed</t>
        </is>
      </c>
      <c r="G22" s="2" t="inlineStr">
        <is>
          <t>cron-service worker port 8021 - Dockerfile CMD hardcodes --port 8021, matching the code's own PORT-env default - owner is ChronosSphere's Lead AI per PLATFORM_ENTITIES.md's worker-map table - SLA/RPO/RTO/DataClassification are the workbook's existing P-tier default pattern, not independently measured</t>
        </is>
      </c>
    </row>
    <row r="23">
      <c r="A23" s="2" t="inlineStr">
        <is>
          <t>SRV-CRYPTEX-001</t>
        </is>
      </c>
      <c r="B23" s="2" t="inlineStr">
        <is>
          <t>Cryptex</t>
        </is>
      </c>
      <c r="C23" s="2" t="inlineStr">
        <is>
          <t>Renik</t>
        </is>
      </c>
      <c r="D23" s="2" t="inlineStr">
        <is>
          <t>Active</t>
        </is>
      </c>
      <c r="E23" s="2" t="inlineStr">
        <is>
          <t>CRT-001</t>
        </is>
      </c>
      <c r="F23" s="2" t="inlineStr">
        <is>
          <t>Flagged</t>
        </is>
      </c>
      <c r="G23" s="2" t="inlineStr">
        <is>
          <t>cryptex worker port 8053 (CRYPTEX_PORT env var overrides config.py's 8039 code default) - verified /health route in workers/cryptex/main.py - owner is Cryptex's Lead AI per CLAUDE.md - depends on Wazuh/MISP/OpenVAS (external to this CMDB's scope) - SLA/RPO/RTO/DataClassification are the workbook's existing P-tier default pattern, not independently measured</t>
        </is>
      </c>
    </row>
    <row r="24">
      <c r="A24" s="2" t="inlineStr">
        <is>
          <t>SRV-DEEPAGENTS-001</t>
        </is>
      </c>
      <c r="B24" s="2" t="inlineStr">
        <is>
          <t>Deep Agents Orchestrator</t>
        </is>
      </c>
      <c r="C24" s="2" t="inlineStr">
        <is>
          <t>Unmapped</t>
        </is>
      </c>
      <c r="D24" s="2" t="inlineStr">
        <is>
          <t>Active</t>
        </is>
      </c>
      <c r="E24" s="2" t="inlineStr">
        <is>
          <t>CRT-001</t>
        </is>
      </c>
      <c r="F24" s="2" t="inlineStr">
        <is>
          <t>Not yet reviewed</t>
        </is>
      </c>
      <c r="G24" s="2" t="inlineStr">
        <is>
          <t>deepagents-orchestrator-service worker port 8037 - verified /health route,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25">
      <c r="A25" s="2" t="inlineStr">
        <is>
          <t>SRV-DEVOCITY-001</t>
        </is>
      </c>
      <c r="B25" s="2" t="inlineStr">
        <is>
          <t>DevOcity</t>
        </is>
      </c>
      <c r="C25" s="2" t="inlineStr">
        <is>
          <t>Kitty</t>
        </is>
      </c>
      <c r="D25" s="2" t="inlineStr">
        <is>
          <t>Active</t>
        </is>
      </c>
      <c r="E25" s="2" t="inlineStr">
        <is>
          <t>CRT-002</t>
        </is>
      </c>
      <c r="F25" s="2" t="inlineStr">
        <is>
          <t>Verified</t>
        </is>
      </c>
      <c r="G25" s="2" t="inlineStr">
        <is>
          <t>devocity worker port 8110 - verified /health route (via @_router.get) - code-level PORT default (os.getenv("PORT") or "8062") does NOT match its actual Dockerfile EXPOSE (8110) or compose's PORT=8110 - same harmless dead-code-default class of bug as the-dutchy/tranceflow/basement, not fixed - works correctly in practice via compose's PORT override - Owner Kitty per CLAUDE.md's Named Services table - SLA/RPO/RTO/DataClassification are the workbook's existing P-tier default pattern</t>
        </is>
      </c>
    </row>
    <row r="26">
      <c r="A26" s="2" t="inlineStr">
        <is>
          <t>SRV-DIMNEXUS-001</t>
        </is>
      </c>
      <c r="B26" s="2" t="inlineStr">
        <is>
          <t>Dimensional Nexus Service</t>
        </is>
      </c>
      <c r="C26" s="2" t="inlineStr">
        <is>
          <t>Unmapped</t>
        </is>
      </c>
      <c r="D26" s="2" t="inlineStr">
        <is>
          <t>Building</t>
        </is>
      </c>
      <c r="E26" s="2" t="inlineStr">
        <is>
          <t>CRT-002</t>
        </is>
      </c>
      <c r="F26" s="2" t="inlineStr">
        <is>
          <t>Not applicable</t>
        </is>
      </c>
      <c r="G26" s="2" t="inlineStr">
        <is>
          <t>UPDATED this session: the build-breaking 'COPY Dimensional/ ./Dimensional/' bug (no local Dimensional/ dir in the isolated build context) is now FIXED - vendored Dimensional/nexus/{__init__,nexus_core,sentinel_bridge}.py and its transitive deps Dimensional/infinity/{nomenclature,abac,rbac}.py into workers/dimensional-nexus-service/Dimensional/, fixed the Dockerfile to COPY worker.py and target worker:app (previously pointed at Dimensional.nexus.nexus_core:app directly, bypassing worker.py's own /health route and OTel hook), and wrapped an unconditional 'from src.observability.worker_setup import instrument_worker' in the startup handler in the same try/except-optional pattern hive-service already used (it would have crashed every deploy otherwise). Verified end-to-end with a clean-room FastAPI TestClient import+startup+/health test - real 200 response. STILL NOT DEPLOYED though, for a newly-discovered reason: docker-compose.production.yml already maps port 8050:8050 to a separate, undocumented 'blender-worker' service (not in CLAUDE.md or PLATFORM_ENTITIES.md at all) - a genuine pre-existing port collision this audit did not resolve, since reassigning either service's port is a platform port-registry decision for a human, not something this pass should do unilaterally. 'Dimensional' is a separate architecture package, not one of the 43 named PLATFORM_ENTITIES.md locations, so Owner remains genuinely Unmapped - StatusCode stays STS-002 (Building) since it's still not deployed - SLA/RTO relaxed to reflect non-production status</t>
        </is>
      </c>
    </row>
    <row r="27">
      <c r="A27" s="2" t="inlineStr">
        <is>
          <t>SRV-DSPY-001</t>
        </is>
      </c>
      <c r="B27" s="2" t="inlineStr">
        <is>
          <t>DSPy Service</t>
        </is>
      </c>
      <c r="C27" s="2" t="inlineStr">
        <is>
          <t>Unmapped</t>
        </is>
      </c>
      <c r="D27" s="2" t="inlineStr">
        <is>
          <t>Active</t>
        </is>
      </c>
      <c r="E27" s="2" t="inlineStr">
        <is>
          <t>CRT-001</t>
        </is>
      </c>
      <c r="F27" s="2" t="inlineStr">
        <is>
          <t>Verified</t>
        </is>
      </c>
      <c r="G27" s="2" t="inlineStr">
        <is>
          <t>dspy-service worker port 8098 -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28">
      <c r="A28" s="2" t="inlineStr">
        <is>
          <t>SRV-DUTCHY-001</t>
        </is>
      </c>
      <c r="B28" s="2" t="inlineStr">
        <is>
          <t>The Dutchy</t>
        </is>
      </c>
      <c r="C28" s="2" t="inlineStr">
        <is>
          <t>Predictive lore</t>
        </is>
      </c>
      <c r="D28" s="2" t="inlineStr">
        <is>
          <t>Active</t>
        </is>
      </c>
      <c r="E28" s="2" t="inlineStr">
        <is>
          <t>CRT-002</t>
        </is>
      </c>
      <c r="F28" s="2" t="inlineStr">
        <is>
          <t>Verified</t>
        </is>
      </c>
      <c r="G28" s="2" t="inlineStr">
        <is>
          <t>the-dutchy worker port 8057 - verified /health route (via @_router.get) - real bug found (not fixed, low severity): worker.py's own PORT default is os.getenv("PORT") or "8061", which does NOT match its actual Dockerfile EXPOSE (8057) or docker-compose.production.yml's PORT=8057 - the service still works correctly in practice only because compose's explicit PORT=8057 environment override always wins, same dead-code-default class of bug already documented for audit-service/queue-service in CLAUDE.md's own routing-defects note - Owner Predictive lore per CLAUDE.md's Named Services table (also the closest canonical entity to the internal placeholder name 'Section 7' per CLAUDE.md's naming rules) - SLA/RPO/RTO/DataClassification are the workbook's existing P-tier default pattern</t>
        </is>
      </c>
    </row>
    <row r="29">
      <c r="A29" s="2" t="inlineStr">
        <is>
          <t>SRV-EMAIL-001</t>
        </is>
      </c>
      <c r="B29" s="2" t="inlineStr">
        <is>
          <t>Email Service</t>
        </is>
      </c>
      <c r="C29" s="2" t="inlineStr">
        <is>
          <t>Lilli SC</t>
        </is>
      </c>
      <c r="D29" s="2" t="inlineStr">
        <is>
          <t>Active</t>
        </is>
      </c>
      <c r="E29" s="2" t="inlineStr">
        <is>
          <t>CRT-001</t>
        </is>
      </c>
      <c r="F29" s="2" t="inlineStr">
        <is>
          <t>Verified</t>
        </is>
      </c>
      <c r="G29" s="2" t="inlineStr">
        <is>
          <t>email-service worker port 8018 - Dockerfile CMD hardcodes --port 8018, overriding the code's generic PORT-env default - owner is Arcadia's Lead AI per PLATFORM_ENTITIES.md's worker-map table - see 12b_dns_records.csv DNSR-005/006 for the SPF/DMARC records tied to this service's SMTP_HOST being unconfigured by default - SLA/RPO/RTO/DataClassification are the workbook's existing P-tier default pattern, not independently measured</t>
        </is>
      </c>
    </row>
    <row r="30">
      <c r="A30" s="2" t="inlineStr">
        <is>
          <t>SRV-FABULOUSA-001</t>
        </is>
      </c>
      <c r="B30" s="2" t="inlineStr">
        <is>
          <t>Fabulousa</t>
        </is>
      </c>
      <c r="C30" s="2" t="inlineStr">
        <is>
          <t>Baron Von Hilton</t>
        </is>
      </c>
      <c r="D30" s="2" t="inlineStr">
        <is>
          <t>Active</t>
        </is>
      </c>
      <c r="E30" s="2" t="inlineStr">
        <is>
          <t>CRT-002</t>
        </is>
      </c>
      <c r="F30" s="2" t="inlineStr">
        <is>
          <t>Verified</t>
        </is>
      </c>
      <c r="G30" s="2" t="inlineStr">
        <is>
          <t>fabulousa-service worker port 8048 - verified /health route (@app.get), code-level PORT default matches Dockerfile EXPOSE/CMD and compose's PORT=8048 exactly - no bug found - Owner Baron Von Hilton per CLAUDE.md's Named Services table - SLA/RPO/RTO/DataClassification are the workbook's existing P-tier default pattern</t>
        </is>
      </c>
    </row>
    <row r="31">
      <c r="A31" s="2" t="inlineStr">
        <is>
          <t>SRV-FFMPEG-001</t>
        </is>
      </c>
      <c r="B31" s="2" t="inlineStr">
        <is>
          <t>FFmpeg Worker</t>
        </is>
      </c>
      <c r="C31" s="2" t="inlineStr">
        <is>
          <t>Benji Tate &amp; Sam King</t>
        </is>
      </c>
      <c r="D31" s="2" t="inlineStr">
        <is>
          <t>Active</t>
        </is>
      </c>
      <c r="E31" s="2" t="inlineStr">
        <is>
          <t>CRT-002</t>
        </is>
      </c>
      <c r="F31" s="2" t="inlineStr">
        <is>
          <t>Verified</t>
        </is>
      </c>
      <c r="G31" s="2" t="inlineStr">
        <is>
          <t>ffmpeg-worker port 8052 - verified /health route and clean import, code/Dockerfile/compose all agree on 8052 - no bug found - Owner Benji Tate &amp; Sam King per its own compose comment 'TateKing Video Processing' - MaxResponseTimeMs relaxed heavily for video transcoding workloads</t>
        </is>
      </c>
    </row>
    <row r="32">
      <c r="A32" s="2" t="inlineStr">
        <is>
          <t>SRV-FILES-001</t>
        </is>
      </c>
      <c r="B32" s="2" t="inlineStr">
        <is>
          <t>Files Service</t>
        </is>
      </c>
      <c r="C32" s="2" t="inlineStr">
        <is>
          <t>To be Defined</t>
        </is>
      </c>
      <c r="D32" s="2" t="inlineStr">
        <is>
          <t>Active</t>
        </is>
      </c>
      <c r="E32" s="2" t="inlineStr">
        <is>
          <t>CRT-001</t>
        </is>
      </c>
      <c r="F32" s="2" t="inlineStr">
        <is>
          <t>Verified</t>
        </is>
      </c>
      <c r="G32" s="2" t="inlineStr">
        <is>
          <t>files-service worker port 8014 - verified /health route in workers/files-service/worker.py - owner is DocUtari, whose Lead AI is literally 'To be Defined' per CLAUDE.md/PLATFORM_ENTITIES.md - SLA/RPO/RTO/DataClassification are the workbook's existing P-tier default pattern</t>
        </is>
      </c>
    </row>
    <row r="33">
      <c r="A33" s="2" t="inlineStr">
        <is>
          <t>SRV-GATEWAY-001</t>
        </is>
      </c>
      <c r="B33" s="2" t="inlineStr">
        <is>
          <t>Gateway Service</t>
        </is>
      </c>
      <c r="C33" s="2" t="inlineStr">
        <is>
          <t>Unmapped</t>
        </is>
      </c>
      <c r="D33" s="2" t="inlineStr">
        <is>
          <t>Building</t>
        </is>
      </c>
      <c r="E33" s="2" t="inlineStr">
        <is>
          <t>CRT-002</t>
        </is>
      </c>
      <c r="F33" s="2" t="inlineStr">
        <is>
          <t>Not applicable</t>
        </is>
      </c>
      <c r="G33" s="2" t="inlineStr">
        <is>
          <t>gateway-service worker (code default port 8040) - genuinely NOT deployed, zero docker-compose.production.yml entry (same class of finding as dimensional-nexus-service). TWO real bugs found and FIXED anyway this session for when/if it's wired in: (1) Dockerfile only COPYd worker.py, but real code is split across 7 files (config/database/models/service/router/main/worker.py) identical to infinity-admin-service's bug; (2) service.py/router.py/main.py import Dimensional.dimensionals and Dimensional.infinity.* (including abac, not used by the other Infinity-family services) with no Dimensional/ COPY - both fixed, verified end-to-end via clean-room import test (requires context: . if/when deployed, matching the sibling Infinity-family services) - heavy overlap with the Infinity security family's ABAC/RBAC/sentinel-station stack suggests probable ownership by The Guardian, but not table-confirmed - StatusCode STS-002/Building reflects non-deployment</t>
        </is>
      </c>
    </row>
    <row r="34">
      <c r="A34" s="2" t="inlineStr">
        <is>
          <t>SRV-GBRAIN-001</t>
        </is>
      </c>
      <c r="B34" s="2" t="inlineStr">
        <is>
          <t>GBrain Bridge</t>
        </is>
      </c>
      <c r="C34" s="2" t="inlineStr">
        <is>
          <t>Unmapped</t>
        </is>
      </c>
      <c r="D34" s="2" t="inlineStr">
        <is>
          <t>Active</t>
        </is>
      </c>
      <c r="E34" s="2" t="inlineStr">
        <is>
          <t>CRT-001</t>
        </is>
      </c>
      <c r="F34" s="2" t="inlineStr">
        <is>
          <t>Not yet reviewed</t>
        </is>
      </c>
      <c r="G34" s="2" t="inlineStr">
        <is>
          <t>gbrain-bridge worker port 8030 - verified /health route,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35">
      <c r="A35" s="2" t="inlineStr">
        <is>
          <t>SRV-GEO-001</t>
        </is>
      </c>
      <c r="B35" s="2" t="inlineStr">
        <is>
          <t>Geo Service</t>
        </is>
      </c>
      <c r="C35" s="2" t="inlineStr">
        <is>
          <t>Predictive lore</t>
        </is>
      </c>
      <c r="D35" s="2" t="inlineStr">
        <is>
          <t>Active</t>
        </is>
      </c>
      <c r="E35" s="2" t="inlineStr">
        <is>
          <t>CRT-001</t>
        </is>
      </c>
      <c r="F35" s="2" t="inlineStr">
        <is>
          <t>Not yet reviewed</t>
        </is>
      </c>
      <c r="G35" s="2" t="inlineStr">
        <is>
          <t>geo-service worker port 8027 - Dockerfile CMD hardcodes --port 8027, matching the code's own PORT-env default - owner is The Dutchy's Lead AI per PLATFORM_ENTITIES.md's worker-map table - SLA/RPO/RTO/DataClassification are the workbook's existing P-tier default pattern, not independently measured</t>
        </is>
      </c>
    </row>
    <row r="36">
      <c r="A36" s="2" t="inlineStr">
        <is>
          <t>SRV-GRID-001</t>
        </is>
      </c>
      <c r="B36" s="2" t="inlineStr">
        <is>
          <t>Workflow Engine</t>
        </is>
      </c>
      <c r="C36" s="2" t="inlineStr">
        <is>
          <t>Tyler Towncroft</t>
        </is>
      </c>
      <c r="D36" s="2" t="inlineStr">
        <is>
          <t>Active</t>
        </is>
      </c>
      <c r="E36" s="2" t="inlineStr">
        <is>
          <t>CRT-001</t>
        </is>
      </c>
      <c r="F36" s="2" t="inlineStr">
        <is>
          <t>Verified</t>
        </is>
      </c>
      <c r="G36" s="2" t="inlineStr">
        <is>
          <t>workflow-engine-service port 8034</t>
        </is>
      </c>
    </row>
    <row r="37">
      <c r="A37" s="2" t="inlineStr">
        <is>
          <t>SRV-HAYSTACK-001</t>
        </is>
      </c>
      <c r="B37" s="2" t="inlineStr">
        <is>
          <t>Haystack Service</t>
        </is>
      </c>
      <c r="C37" s="2" t="inlineStr">
        <is>
          <t>Unmapped</t>
        </is>
      </c>
      <c r="D37" s="2" t="inlineStr">
        <is>
          <t>Active</t>
        </is>
      </c>
      <c r="E37" s="2" t="inlineStr">
        <is>
          <t>CRT-001</t>
        </is>
      </c>
      <c r="F37" s="2" t="inlineStr">
        <is>
          <t>Verified</t>
        </is>
      </c>
      <c r="G37" s="2" t="inlineStr">
        <is>
          <t>haystack-service worker port 8097 -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38">
      <c r="A38" s="2" t="inlineStr">
        <is>
          <t>SRV-HEALTHAGG-001</t>
        </is>
      </c>
      <c r="B38" s="2" t="inlineStr">
        <is>
          <t>Health Aggregator</t>
        </is>
      </c>
      <c r="C38" s="2" t="inlineStr">
        <is>
          <t>Kitty</t>
        </is>
      </c>
      <c r="D38" s="2" t="inlineStr">
        <is>
          <t>Active</t>
        </is>
      </c>
      <c r="E38" s="2" t="inlineStr">
        <is>
          <t>CRT-001</t>
        </is>
      </c>
      <c r="F38" s="2" t="inlineStr">
        <is>
          <t>Verified</t>
        </is>
      </c>
      <c r="G38" s="2" t="inlineStr">
        <is>
          <t>health-aggregator worker port 8029 - Dockerfile CMD hardcodes --port 8029, overriding the os.environ.get('PORT', 8029) code default (moot here since they match, but same override pattern as other P3 workers) - owner is DevOcity's Lead AI per PLATFORM_ENTITIES.md's worker-map table - SLA/RPO/RTO/DataClassification are the workbook's existing P-tier default pattern, not independently measured</t>
        </is>
      </c>
    </row>
    <row r="39">
      <c r="A39" s="2" t="inlineStr">
        <is>
          <t>SRV-HIVE-001</t>
        </is>
      </c>
      <c r="B39" s="2" t="inlineStr">
        <is>
          <t>Hive Service (The HIVE)</t>
        </is>
      </c>
      <c r="C39" s="2" t="inlineStr">
        <is>
          <t>The Queen</t>
        </is>
      </c>
      <c r="D39" s="2" t="inlineStr">
        <is>
          <t>Active</t>
        </is>
      </c>
      <c r="E39" s="2" t="inlineStr">
        <is>
          <t>CRT-001</t>
        </is>
      </c>
      <c r="F39" s="2" t="inlineStr">
        <is>
          <t>Verified</t>
        </is>
      </c>
      <c r="G39" s="2" t="inlineStr">
        <is>
          <t>hive-service worker port 8051 (Owner The Queen per CLAUDE.md's Named Services table) - ALL THREE previously-flagged bugs now FIXED and verified this session: (1) vendored Dimensional/hive/{__init__,hive_core,sentinel_bridge}.py and transitive deps Dimensional/infinity/nomenclature.py + src/errors/error_catalog.py into workers/hive-service/, resolving the build-breaking missing-source COPY; (2) Dockerfile CMD/EXPOSE/HEALTHCHECK port mismatch (8060-vs-8051) fixed to 8051 throughout; (3) discovered the Dockerfile CMD was ALSO targeting the wrong object - Dimensional.hive.hive_core has no module-level app (only a create_hive_app() factory), so 'Dimensional.hive.hive_core:app' would have failed even with the COPY fixed - Dockerfile now COPYs worker.py and targets worker:app, the correct entrypoint that also wires the /health route and the try/except-optional OTel hook. Verified end-to-end with a clean-room FastAPI TestClient import+startup+/health test - real 200 response with hive stats. This is now a genuinely working, deployable service</t>
        </is>
      </c>
    </row>
    <row r="40">
      <c r="A40" s="2" t="inlineStr">
        <is>
          <t>SRV-ICEBOX-001</t>
        </is>
      </c>
      <c r="B40" s="2" t="inlineStr">
        <is>
          <t>The Ice Box</t>
        </is>
      </c>
      <c r="C40" s="2" t="inlineStr">
        <is>
          <t>Neonach</t>
        </is>
      </c>
      <c r="D40" s="2" t="inlineStr">
        <is>
          <t>Active</t>
        </is>
      </c>
      <c r="E40" s="2" t="inlineStr">
        <is>
          <t>CRT-001</t>
        </is>
      </c>
      <c r="F40" s="2" t="inlineStr">
        <is>
          <t>Verified</t>
        </is>
      </c>
      <c r="G40" s="2" t="inlineStr">
        <is>
          <t>ice-box-service worker port 8046 (ICE_BOX_PORT env var, matches code default) - verified /health route in workers/ice-box-service/worker.py, health response itself confirms lead_ai Neonach - owner is The Ice Box's Lead AI per CLAUDE.md - SLA/RPO/RTO/DataClassification are the workbook's existing P-tier default pattern, not independently measured</t>
        </is>
      </c>
    </row>
    <row r="41">
      <c r="A41" s="2" t="inlineStr">
        <is>
          <t>SRV-IDENTITY-001</t>
        </is>
      </c>
      <c r="B41" s="2" t="inlineStr">
        <is>
          <t>Identity Service</t>
        </is>
      </c>
      <c r="C41" s="2" t="inlineStr">
        <is>
          <t>Rocking Ricki</t>
        </is>
      </c>
      <c r="D41" s="2" t="inlineStr">
        <is>
          <t>Active</t>
        </is>
      </c>
      <c r="E41" s="2" t="inlineStr">
        <is>
          <t>CRT-001</t>
        </is>
      </c>
      <c r="F41" s="2" t="inlineStr">
        <is>
          <t>Verified</t>
        </is>
      </c>
      <c r="G41" s="2" t="inlineStr">
        <is>
          <t>identity-service worker port 8015 - verified /health route in workers/identity-service/worker.py - owner is The Lighthouse's Lead AI per PLATFORM_ENTITIES.md's worker-map table (port 8015) - SLA/RPO/RTO/DataClassification are the workbook's existing P-tier default pattern</t>
        </is>
      </c>
    </row>
    <row r="42">
      <c r="A42" s="2" t="inlineStr">
        <is>
          <t>SRV-IMAGINARIUM-001</t>
        </is>
      </c>
      <c r="B42" s="2" t="inlineStr">
        <is>
          <t>Imaginarium</t>
        </is>
      </c>
      <c r="C42" s="2" t="inlineStr">
        <is>
          <t>Voxx</t>
        </is>
      </c>
      <c r="D42" s="2" t="inlineStr">
        <is>
          <t>Active</t>
        </is>
      </c>
      <c r="E42" s="2" t="inlineStr">
        <is>
          <t>CRT-002</t>
        </is>
      </c>
      <c r="F42" s="2" t="inlineStr">
        <is>
          <t>Verified</t>
        </is>
      </c>
      <c r="G42" s="2" t="inlineStr">
        <is>
          <t>imaginarium worker port 8064 - verified /health route (via @_router.get), code-level PORT default matches Dockerfile EXPOSE/CMD and docker-compose.production.yml's PORT=8064 - Owner Voxx per CLAUDE.md's Named Services table - SLA/RPO/RTO/DataClassification are the workbook's existing P-tier default pattern</t>
        </is>
      </c>
    </row>
    <row r="43">
      <c r="A43" s="2" t="inlineStr">
        <is>
          <t>SRV-IMIND-001</t>
        </is>
      </c>
      <c r="B43" s="2" t="inlineStr">
        <is>
          <t>I-Mind</t>
        </is>
      </c>
      <c r="C43" s="2" t="inlineStr">
        <is>
          <t>Elouise</t>
        </is>
      </c>
      <c r="D43" s="2" t="inlineStr">
        <is>
          <t>Active</t>
        </is>
      </c>
      <c r="E43" s="2" t="inlineStr">
        <is>
          <t>CRT-002</t>
        </is>
      </c>
      <c r="F43" s="2" t="inlineStr">
        <is>
          <t>Verified</t>
        </is>
      </c>
      <c r="G43" s="2" t="inlineStr">
        <is>
          <t>imind worker port 8075 - verified /health route (via @_router.get) - code-level PORT default (os.getenv("PORT") or "8059") does NOT match its actual Dockerfile EXPOSE (8075) or compose's PORT=8075 - same harmless dead-code-default class of bug, not fixed - Owner Elouise per CLAUDE.md - self-harm severity bug mentioned in a recent real commit touching this worker (see 06_service_deployments.csv commit message) was already fixed prior to this session, not something found now - SLA/RPO/RTO/DataClassification are the workbook's existing P-tier default pattern</t>
        </is>
      </c>
    </row>
    <row r="44">
      <c r="A44" s="2" t="inlineStr">
        <is>
          <t>SRV-INF-001</t>
        </is>
      </c>
      <c r="B44" s="2" t="inlineStr">
        <is>
          <t>Central Authentication</t>
        </is>
      </c>
      <c r="C44" s="2" t="inlineStr">
        <is>
          <t>The Guardian (Anchor: Orb of Orisis)</t>
        </is>
      </c>
      <c r="D44" s="2" t="inlineStr">
        <is>
          <t>Active</t>
        </is>
      </c>
      <c r="E44" s="2" t="inlineStr">
        <is>
          <t>CRT-001</t>
        </is>
      </c>
      <c r="F44" s="2" t="inlineStr">
        <is>
          <t>Verified</t>
        </is>
      </c>
      <c r="G44" s="2" t="inlineStr">
        <is>
          <t>infinity-auth port 8005</t>
        </is>
      </c>
    </row>
    <row r="45">
      <c r="A45" s="2" t="inlineStr">
        <is>
          <t>SRV-INFVOID-001</t>
        </is>
      </c>
      <c r="B45" s="2" t="inlineStr">
        <is>
          <t>Infinity Void (self-hosted secrets vault)</t>
        </is>
      </c>
      <c r="C45" s="2" t="inlineStr">
        <is>
          <t>Prometheus</t>
        </is>
      </c>
      <c r="D45" s="2" t="inlineStr">
        <is>
          <t>Active</t>
        </is>
      </c>
      <c r="E45" s="2" t="inlineStr">
        <is>
          <t>CRT-001</t>
        </is>
      </c>
      <c r="F45" s="2" t="inlineStr">
        <is>
          <t>Verified</t>
        </is>
      </c>
      <c r="G45" s="2" t="inlineStr">
        <is>
          <t>workers/infinity-void port 8002 - verified /health route (@app.get), single self-contained worker.py with zero out-of-context imports (unlike vault-service/the-void), all dependencies exact-pinned in requirements-worker.txt, AES-256-GCM + PBKDF2 (100k iterations) matching CLAUDE.md's documented encryption spec for The Void - code-level PORT default (8082) is dead/wrong vs Dockerfile EXPOSE/compose PORT=8002, same harmless class of bug as elsewhere, not fixed - this is a THIRD Void-related worker distinct from vault-service (deprecated, broken, still deployed at 8038) and the-void (code-only, undeployed) - see SRV-VOID-001 Notes for the full three-way comparison - appears to be the actual working self-hosted Void migration target, though platform naming convergence is a decision for Prometheus/Cornelius, not this audit</t>
        </is>
      </c>
    </row>
    <row r="46">
      <c r="A46" s="2" t="inlineStr">
        <is>
          <t>SRV-LAB-001</t>
        </is>
      </c>
      <c r="B46" s="2" t="inlineStr">
        <is>
          <t>The Lab</t>
        </is>
      </c>
      <c r="C46" s="2" t="inlineStr">
        <is>
          <t>The Dr. &amp; Slime</t>
        </is>
      </c>
      <c r="D46" s="2" t="inlineStr">
        <is>
          <t>Active</t>
        </is>
      </c>
      <c r="E46" s="2" t="inlineStr">
        <is>
          <t>CRT-002</t>
        </is>
      </c>
      <c r="F46" s="2" t="inlineStr">
        <is>
          <t>Verified</t>
        </is>
      </c>
      <c r="G46" s="2" t="inlineStr">
        <is>
          <t>the-lab worker port 8055 - verified /health route (via @_router.get), code-level PORT default matches Dockerfile EXPOSE/CMD and docker-compose.production.yml's PORT=8055 - Owner The Dr. &amp; Slime per CLAUDE.md's Named Services table (no PLATFORM_ENTITIES.md worker-map table entry for this port, same as most P3 services this batch) - SLA/RPO/RTO/DataClassification are the workbook's existing P-tier default pattern</t>
        </is>
      </c>
    </row>
    <row r="47">
      <c r="A47" s="2" t="inlineStr">
        <is>
          <t>SRV-LABSVC-001</t>
        </is>
      </c>
      <c r="B47" s="2" t="inlineStr">
        <is>
          <t>The Lab Extended Service</t>
        </is>
      </c>
      <c r="C47" s="2" t="inlineStr">
        <is>
          <t>The Dr. &amp; Slime</t>
        </is>
      </c>
      <c r="D47" s="2" t="inlineStr">
        <is>
          <t>Active</t>
        </is>
      </c>
      <c r="E47" s="2" t="inlineStr">
        <is>
          <t>CRT-002</t>
        </is>
      </c>
      <c r="F47" s="2" t="inlineStr">
        <is>
          <t>Verified</t>
        </is>
      </c>
      <c r="G47" s="2" t="inlineStr">
        <is>
          <t>lab-service worker port 8066 - verified /health route (@app.get in main.py), Dockerfile correctly COPYs all 6 needed files (config/models/database/service/router/main), no import-out-of-context bug - correctly rotates HF_API_KEY (HuggingFace free tier) and OPENROUTER_API_KEY, both approved zero-cost providers - distinct standalone deployment from workers/the-lab/, both owned by The Dr. &amp; Slime per CLAUDE.md - SLA/RPO/RTO/DataClassification are the workbook's existing P-tier default pattern</t>
        </is>
      </c>
    </row>
    <row r="48">
      <c r="A48" s="2" t="inlineStr">
        <is>
          <t>SRV-LANGCHAIN-001</t>
        </is>
      </c>
      <c r="B48" s="2" t="inlineStr">
        <is>
          <t>LangChain Integration Service</t>
        </is>
      </c>
      <c r="C48" s="2" t="inlineStr">
        <is>
          <t>Unmapped</t>
        </is>
      </c>
      <c r="D48" s="2" t="inlineStr">
        <is>
          <t>Active</t>
        </is>
      </c>
      <c r="E48" s="2" t="inlineStr">
        <is>
          <t>CRT-001</t>
        </is>
      </c>
      <c r="F48" s="2" t="inlineStr">
        <is>
          <t>Verified</t>
        </is>
      </c>
      <c r="G48" s="2" t="inlineStr">
        <is>
          <t>langchain-integration-service worker port 8036 -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49">
      <c r="A49" s="2" t="inlineStr">
        <is>
          <t>SRV-LEDGER-001</t>
        </is>
      </c>
      <c r="B49" s="2" t="inlineStr">
        <is>
          <t>Ledger Service</t>
        </is>
      </c>
      <c r="C49" s="2" t="inlineStr">
        <is>
          <t>Dorris Fontaine</t>
        </is>
      </c>
      <c r="D49" s="2" t="inlineStr">
        <is>
          <t>Active</t>
        </is>
      </c>
      <c r="E49" s="2" t="inlineStr">
        <is>
          <t>CRT-001</t>
        </is>
      </c>
      <c r="F49" s="2" t="inlineStr">
        <is>
          <t>Not yet reviewed</t>
        </is>
      </c>
      <c r="G49" s="2" t="inlineStr">
        <is>
          <t>ledger-service worker port 8032 - verified /health route in workers/ledger-service/worker.py - owner inferred from CLAUDE.md's own role text 'Royal Bank ledger' naming Royal Bank of Arcadia (Dorris Fontaine), not from the worker-map table which has no entry for this port - stricter SLA/DataClassification matching other financial-data services (SRV-PAYMENTS-001), not independently measured</t>
        </is>
      </c>
    </row>
    <row r="50">
      <c r="A50" s="2" t="inlineStr">
        <is>
          <t>SRV-LIBRARY-001</t>
        </is>
      </c>
      <c r="B50" s="2" t="inlineStr">
        <is>
          <t>The Library</t>
        </is>
      </c>
      <c r="C50" s="2" t="inlineStr">
        <is>
          <t>Zimik</t>
        </is>
      </c>
      <c r="D50" s="2" t="inlineStr">
        <is>
          <t>Active</t>
        </is>
      </c>
      <c r="E50" s="2" t="inlineStr">
        <is>
          <t>CRT-002</t>
        </is>
      </c>
      <c r="F50" s="2" t="inlineStr">
        <is>
          <t>Flagged</t>
        </is>
      </c>
      <c r="G50" s="2" t="inlineStr">
        <is>
          <t>library-service worker port 8067 - verified /health route (@app.get in main.py), Dockerfile correctly COPYs the full directory (COPY . .), no import bug - rotates across self-hosted Outline/BookStack/Wiki.js/Gollum/DokuWiki/MkDocs/Gitea/TiddlyWiki backends per its own comment header, matching CLAUDE.md's recommended self-hosted foundation for The Library, but the actual configured backend instances were not independently verified as self-hosted vs any paid tier this session - Owner Zimik per CLAUDE.md's Named Services table - SLA/RPO/RTO/DataClassification are the workbook's existing P-tier default pattern</t>
        </is>
      </c>
    </row>
    <row r="51">
      <c r="A51" s="2" t="inlineStr">
        <is>
          <t>SRV-LITELLM-001</t>
        </is>
      </c>
      <c r="B51" s="2" t="inlineStr">
        <is>
          <t>LiteLLM Service</t>
        </is>
      </c>
      <c r="C51" s="2" t="inlineStr">
        <is>
          <t>Unmapped</t>
        </is>
      </c>
      <c r="D51" s="2" t="inlineStr">
        <is>
          <t>Active</t>
        </is>
      </c>
      <c r="E51" s="2" t="inlineStr">
        <is>
          <t>CRT-001</t>
        </is>
      </c>
      <c r="F51" s="2" t="inlineStr">
        <is>
          <t>Flagged</t>
        </is>
      </c>
      <c r="G51" s="2" t="inlineStr">
        <is>
          <t>litellm-service worker port 8049 - verified /health route; code default PORT=8049, no explicit --port flag in Dockerfile CMD (uses CMD ["python", "worker.py"]), so docker-compose.production.yml's explicit PORT=8049 environment override is what actually wires it correctly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52">
      <c r="A52" s="2" t="inlineStr">
        <is>
          <t>SRV-LLAMAINDEX-001</t>
        </is>
      </c>
      <c r="B52" s="2" t="inlineStr">
        <is>
          <t>LlamaIndex Service</t>
        </is>
      </c>
      <c r="C52" s="2" t="inlineStr">
        <is>
          <t>Unmapped</t>
        </is>
      </c>
      <c r="D52" s="2" t="inlineStr">
        <is>
          <t>Active</t>
        </is>
      </c>
      <c r="E52" s="2" t="inlineStr">
        <is>
          <t>CRT-001</t>
        </is>
      </c>
      <c r="F52" s="2" t="inlineStr">
        <is>
          <t>Verified</t>
        </is>
      </c>
      <c r="G52" s="2" t="inlineStr">
        <is>
          <t>llamaindex-service worker port 8096 - verified /health route, code-level PORT default matches docker-compose mapping -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53">
      <c r="A53" s="2" t="inlineStr">
        <is>
          <t>SRV-MLFLOW-001</t>
        </is>
      </c>
      <c r="B53" s="2" t="inlineStr">
        <is>
          <t>MLflow Service</t>
        </is>
      </c>
      <c r="C53" s="2" t="inlineStr">
        <is>
          <t>Samantha Turing</t>
        </is>
      </c>
      <c r="D53" s="2" t="inlineStr">
        <is>
          <t>Active</t>
        </is>
      </c>
      <c r="E53" s="2" t="inlineStr">
        <is>
          <t>CRT-001</t>
        </is>
      </c>
      <c r="F53" s="2" t="inlineStr">
        <is>
          <t>Verified</t>
        </is>
      </c>
      <c r="G53" s="2" t="inlineStr">
        <is>
          <t>CORRECTION: was confirmed broken this session - worker.py unconditionally imported Dimensional.path_validation with no local vendoring, isolated build context - fixed by vendoring path_validation.py and updating the Dockerfile - re-verified working - mlflow-service worker port 8039 - hardcodes port 8039 (no PORT env var in code - Dockerfile CMD hardcodes --port 8039 instead, matches compose) - owner inferred from worker.py's own header docstring text 'Turing's Hub (port 8095) - logs per-entity build experiments', naming Turing's Hub/Samantha Turing, not from the worker-map table which has no entry for this port - note the docstring's own port 8095 reference does not match this service's actual port 8039, a separate documentation inconsistency inside the worker's own comments - SLA/RPO/RTO/DataClassification are the workbook's existing P-tier default pattern</t>
        </is>
      </c>
    </row>
    <row r="54">
      <c r="A54" s="2" t="inlineStr">
        <is>
          <t>SRV-MODELROUTER-001</t>
        </is>
      </c>
      <c r="B54" s="2" t="inlineStr">
        <is>
          <t>Model Router Service</t>
        </is>
      </c>
      <c r="C54" s="2" t="inlineStr">
        <is>
          <t>Unmapped</t>
        </is>
      </c>
      <c r="D54" s="2" t="inlineStr">
        <is>
          <t>Active</t>
        </is>
      </c>
      <c r="E54" s="2" t="inlineStr">
        <is>
          <t>CRT-001</t>
        </is>
      </c>
      <c r="F54" s="2" t="inlineStr">
        <is>
          <t>Not yet reviewed</t>
        </is>
      </c>
      <c r="G54" s="2" t="inlineStr">
        <is>
          <t>model-router-service worker port 8033 - verified /health route, no lead_ai self-reported and no entry in PLATFORM_ENTITIES.md's worker-map table or CLAUDE.md's role/description column names an owning entity - Owner genuinely Unmapped, not guessed (could plausibly relate to Luminous/infinity-ai but that's a guess, not documented) - SLA/RPO/RTO/DataClassification are the workbook's existing P-tier default pattern</t>
        </is>
      </c>
    </row>
    <row r="55">
      <c r="A55" s="2" t="inlineStr">
        <is>
          <t>SRV-MONDASH-001</t>
        </is>
      </c>
      <c r="B55" s="2" t="inlineStr">
        <is>
          <t>Monitoring Dashboard</t>
        </is>
      </c>
      <c r="C55" s="2" t="inlineStr">
        <is>
          <t>Norman Hawkins</t>
        </is>
      </c>
      <c r="D55" s="2" t="inlineStr">
        <is>
          <t>Active</t>
        </is>
      </c>
      <c r="E55" s="2" t="inlineStr">
        <is>
          <t>CRT-001</t>
        </is>
      </c>
      <c r="F55" s="2" t="inlineStr">
        <is>
          <t>Verified</t>
        </is>
      </c>
      <c r="G55" s="2" t="inlineStr">
        <is>
          <t>monitoring worker port 8007 - verified /health route in workers/monitoring/worker.py - also exposes /health/services and /health/services/{name} - SLA/RPO/RTO/DataClassification are the workbook's existing P1-tier default pattern (matches SRV-OBS-001), not independently measured for this service yet</t>
        </is>
      </c>
    </row>
    <row r="56">
      <c r="A56" s="2" t="inlineStr">
        <is>
          <t>SRV-MONITORGO-001</t>
        </is>
      </c>
      <c r="B56" s="2" t="inlineStr">
        <is>
          <t>Monitoring Service (Go rewrite)</t>
        </is>
      </c>
      <c r="C56" s="2" t="inlineStr">
        <is>
          <t>Norman Hawkins</t>
        </is>
      </c>
      <c r="D56" s="2" t="inlineStr">
        <is>
          <t>Building</t>
        </is>
      </c>
      <c r="E56" s="2" t="inlineStr">
        <is>
          <t>CRT-003</t>
        </is>
      </c>
      <c r="F56" s="2" t="inlineStr">
        <is>
          <t>Not applicable</t>
        </is>
      </c>
      <c r="G56" s="2" t="inlineStr">
        <is>
          <t>monitoring-go - Go source + Dockerfile exist in workers/monitoring-go/ but zero docker-compose.production.yml entry - not deployed, not code-reviewed this session (Go, outside this session's Python-focused verification tooling) - part of an undocumented alternate-language rewrite track alongside queue-service-go, rate-limit-service-go, and the earlier-flagged Rust rewrites (nexus-ws-rs, vault-service-rs, rate-limit-service-rs) - Owner inferred to match monitoring/SRV-MONDASH-001's Norman Hawkins, not independently confirmed - StatusCode STS-002/Building reflects non-deployment and non-review</t>
        </is>
      </c>
    </row>
    <row r="57">
      <c r="A57" s="2" t="inlineStr">
        <is>
          <t>SRV-NOTIF-001</t>
        </is>
      </c>
      <c r="B57" s="2" t="inlineStr">
        <is>
          <t>Notifications Service</t>
        </is>
      </c>
      <c r="C57" s="2" t="inlineStr">
        <is>
          <t>Lilli SC</t>
        </is>
      </c>
      <c r="D57" s="2" t="inlineStr">
        <is>
          <t>Active</t>
        </is>
      </c>
      <c r="E57" s="2" t="inlineStr">
        <is>
          <t>CRT-001</t>
        </is>
      </c>
      <c r="F57" s="2" t="inlineStr">
        <is>
          <t>Verified</t>
        </is>
      </c>
      <c r="G57" s="2" t="inlineStr">
        <is>
          <t>notifications worker port 8008 - verified /health route in workers/notifications/worker.py - owner is Arcadia's Lead AI per PLATFORM_ENTITIES.md's worker-map table (line 64: notifications -&gt; Arcadia -&gt; Lilli SC) - SLA/RPO/RTO/DataClassification are the workbook's existing P1-tier default pattern, not independently measured for this service yet</t>
        </is>
      </c>
    </row>
    <row r="58">
      <c r="A58" s="2" t="inlineStr">
        <is>
          <t>SRV-OBS-001</t>
        </is>
      </c>
      <c r="B58" s="2" t="inlineStr">
        <is>
          <t>Audit and Monitoring</t>
        </is>
      </c>
      <c r="C58" s="2" t="inlineStr">
        <is>
          <t>Norman Hawkins</t>
        </is>
      </c>
      <c r="D58" s="2" t="inlineStr">
        <is>
          <t>Active</t>
        </is>
      </c>
      <c r="E58" s="2" t="inlineStr">
        <is>
          <t>CRT-001</t>
        </is>
      </c>
      <c r="F58" s="2" t="inlineStr">
        <is>
          <t>Verified</t>
        </is>
      </c>
      <c r="G58" s="2" t="inlineStr">
        <is>
          <t>observatory worker port 8065</t>
        </is>
      </c>
    </row>
    <row r="59">
      <c r="A59" s="2" t="inlineStr">
        <is>
          <t>SRV-ONE-001</t>
        </is>
      </c>
      <c r="B59" s="2" t="inlineStr">
        <is>
          <t>Infinity-One</t>
        </is>
      </c>
      <c r="C59" s="2" t="inlineStr">
        <is>
          <t>The Guardian (Anchor: Orb of Orisis)</t>
        </is>
      </c>
      <c r="D59" s="2" t="inlineStr">
        <is>
          <t>Active</t>
        </is>
      </c>
      <c r="E59" s="2" t="inlineStr">
        <is>
          <t>CRT-001</t>
        </is>
      </c>
      <c r="F59" s="2" t="inlineStr">
        <is>
          <t>Verified</t>
        </is>
      </c>
      <c r="G59" s="2" t="inlineStr">
        <is>
          <t>CORRECTION: same real bug as SRV-PORTAL-001 - worker.py imports Dimensional.dimensionals and Dimensional.infinity.* unconditionally with no Dimensional/ COPY in the Dockerfile despite repo-root build context - confirmed broken via clean-room ModuleNotFoundError repro, FIXED by adding 'COPY Dimensional/ ./Dimensional/' and re-verified working - infinity-one-service port 8043 - SLA/RPO/RTO/DataClassification are the workbook's existing P1-tier default pattern, not independently measured for this service yet</t>
        </is>
      </c>
    </row>
    <row r="60">
      <c r="A60" s="2" t="inlineStr">
        <is>
          <t>SRV-OPTHEALTH-001</t>
        </is>
      </c>
      <c r="B60" s="2" t="inlineStr">
        <is>
          <t>Optional Services Health Monitor</t>
        </is>
      </c>
      <c r="C60" s="2" t="inlineStr">
        <is>
          <t>Norman Hawkins</t>
        </is>
      </c>
      <c r="D60" s="2" t="inlineStr">
        <is>
          <t>Building</t>
        </is>
      </c>
      <c r="E60" s="2" t="inlineStr">
        <is>
          <t>CRT-003</t>
        </is>
      </c>
      <c r="F60" s="2" t="inlineStr">
        <is>
          <t>Not applicable</t>
        </is>
      </c>
      <c r="G60" s="2" t="inlineStr">
        <is>
          <t>optional-services-health worker - genuinely NOT deployed, zero docker-compose.production.yml entry - verified /health route and clean import (no bugs found in the code itself) - code-level PORT default (8094) does not match its own Dockerfile EXPOSE (8039), a dead-code mismatch, harmless only because the service isn't running at all - Owner Norman Hawkins inferred from its own docstring 'reports to The Observatory', not table-confirmed - StatusCode STS-002/Building reflects non-deployment</t>
        </is>
      </c>
    </row>
    <row r="61">
      <c r="A61" s="2" t="inlineStr">
        <is>
          <t>SRV-ORDERS-001</t>
        </is>
      </c>
      <c r="B61" s="2" t="inlineStr">
        <is>
          <t>Orders Service</t>
        </is>
      </c>
      <c r="C61" s="2" t="inlineStr">
        <is>
          <t>The Porter Family</t>
        </is>
      </c>
      <c r="D61" s="2" t="inlineStr">
        <is>
          <t>Active</t>
        </is>
      </c>
      <c r="E61" s="2" t="inlineStr">
        <is>
          <t>CRT-001</t>
        </is>
      </c>
      <c r="F61" s="2" t="inlineStr">
        <is>
          <t>Verified</t>
        </is>
      </c>
      <c r="G61" s="2" t="inlineStr">
        <is>
          <t>orders-service worker port 8012 - verified /health route in workers/orders-service/worker.py - owner is Arcadian Exchange's Lead AI per CLAUDE.md's legacy CF worker mapping (trancendos-orders-service to Orders/Arcadian Exchange) - SLA/RPO/RTO/DataClassification are the workbook's existing P-tier default pattern</t>
        </is>
      </c>
    </row>
    <row r="62">
      <c r="A62" s="2" t="inlineStr">
        <is>
          <t>SRV-PAYMENTS-001</t>
        </is>
      </c>
      <c r="B62" s="2" t="inlineStr">
        <is>
          <t>Payments Service</t>
        </is>
      </c>
      <c r="C62" s="2" t="inlineStr">
        <is>
          <t>Dorris Fontaine</t>
        </is>
      </c>
      <c r="D62" s="2" t="inlineStr">
        <is>
          <t>Active</t>
        </is>
      </c>
      <c r="E62" s="2" t="inlineStr">
        <is>
          <t>CRT-001</t>
        </is>
      </c>
      <c r="F62" s="2" t="inlineStr">
        <is>
          <t>Verified</t>
        </is>
      </c>
      <c r="G62" s="2" t="inlineStr">
        <is>
          <t>payments-service worker port 8013 - verified /health route in workers/payments-service/worker.py - owner is Royal Bank of Arcadia's Lead AI per CLAUDE.md's legacy CF worker mapping (trancendos-payments-service to Royal Bank/payments) - stricter SLA/DataClassification than the general P-tier default, matching SRV-VOID-001's pattern for financial/payment data - not independently measured</t>
        </is>
      </c>
    </row>
    <row r="63">
      <c r="A63" s="2" t="inlineStr">
        <is>
          <t>SRV-PORTAL-001</t>
        </is>
      </c>
      <c r="B63" s="2" t="inlineStr">
        <is>
          <t>Infinity Portal</t>
        </is>
      </c>
      <c r="C63" s="2" t="inlineStr">
        <is>
          <t>The Guardian (Anchor: Orb of Orisis)</t>
        </is>
      </c>
      <c r="D63" s="2" t="inlineStr">
        <is>
          <t>Active</t>
        </is>
      </c>
      <c r="E63" s="2" t="inlineStr">
        <is>
          <t>CRT-001</t>
        </is>
      </c>
      <c r="F63" s="2" t="inlineStr">
        <is>
          <t>Verified</t>
        </is>
      </c>
      <c r="G63" s="2" t="inlineStr">
        <is>
          <t>CORRECTION: the earlier 'verified /health route' note here was true but insufficient - this session found the whole service was actually BROKEN: service.py imports Dimensional.dimensionals and Dimensional.infinity.* (auth_gateway/nomenclature/owasp_hardening/rbac/sentinel_station/worker_integration) unconditionally, but the Dockerfile never copied Dimensional/ despite compose already using a repo-root build context (context: .) - confirmed via a clean-room ModuleNotFoundError repro, then FIXED by adding 'COPY Dimensional/ ./Dimensional/' to the Dockerfile and re-verified with a clean-room import test that now succeeds - infinity-portal-service port 8042 - SLA/RPO/RTO/DataClassification are the workbook's existing P1-tier default pattern (matches SRV-INF-001), not independently measured for this service yet</t>
        </is>
      </c>
    </row>
    <row r="64">
      <c r="A64" s="2" t="inlineStr">
        <is>
          <t>SRV-PRODUCTS-001</t>
        </is>
      </c>
      <c r="B64" s="2" t="inlineStr">
        <is>
          <t>Products Service</t>
        </is>
      </c>
      <c r="C64" s="2" t="inlineStr">
        <is>
          <t>The Porter Family</t>
        </is>
      </c>
      <c r="D64" s="2" t="inlineStr">
        <is>
          <t>Active</t>
        </is>
      </c>
      <c r="E64" s="2" t="inlineStr">
        <is>
          <t>CRT-001</t>
        </is>
      </c>
      <c r="F64" s="2" t="inlineStr">
        <is>
          <t>Verified</t>
        </is>
      </c>
      <c r="G64" s="2" t="inlineStr">
        <is>
          <t>products-service worker port 8011 - verified /health route in workers/products-service/worker.py - owner is Arcadian Exchange's Lead AI per PLATFORM_ENTITIES.md's worker-map table (line 67: products-service -&gt; Arcadian Exchange -&gt; The Porter Family) - SLA/RPO/RTO/DataClassification are the workbook's existing P-tier default pattern</t>
        </is>
      </c>
    </row>
    <row r="65">
      <c r="A65" s="2" t="inlineStr">
        <is>
          <t>SRV-QUEUE-001</t>
        </is>
      </c>
      <c r="B65" s="2" t="inlineStr">
        <is>
          <t>Queue Service</t>
        </is>
      </c>
      <c r="C65" s="2" t="inlineStr">
        <is>
          <t>The Queen</t>
        </is>
      </c>
      <c r="D65" s="2" t="inlineStr">
        <is>
          <t>Active</t>
        </is>
      </c>
      <c r="E65" s="2" t="inlineStr">
        <is>
          <t>CRT-001</t>
        </is>
      </c>
      <c r="F65" s="2" t="inlineStr">
        <is>
          <t>Not yet reviewed</t>
        </is>
      </c>
      <c r="G65" s="2" t="inlineStr">
        <is>
          <t>queue-service worker port 8022 - the code's own os.getenv('PORT', '8027') default is wrong (8027 belongs to rate-limit-service), but Dockerfile CMD hardcodes --port 8022 so the container actually listens correctly - owner is The HIVE's Lead AI per PLATFORM_ENTITIES.md's worker-map table - SLA/RPO/RTO/DataClassification are the workbook's existing P-tier default pattern, not independently measured</t>
        </is>
      </c>
    </row>
    <row r="66">
      <c r="A66" s="2" t="inlineStr">
        <is>
          <t>SRV-QUEUEGO-001</t>
        </is>
      </c>
      <c r="B66" s="2" t="inlineStr">
        <is>
          <t>Queue Service (Go rewrite)</t>
        </is>
      </c>
      <c r="C66" s="2" t="inlineStr">
        <is>
          <t>The Queen</t>
        </is>
      </c>
      <c r="D66" s="2" t="inlineStr">
        <is>
          <t>Building</t>
        </is>
      </c>
      <c r="E66" s="2" t="inlineStr">
        <is>
          <t>CRT-003</t>
        </is>
      </c>
      <c r="F66" s="2" t="inlineStr">
        <is>
          <t>Not applicable</t>
        </is>
      </c>
      <c r="G66" s="2" t="inlineStr">
        <is>
          <t>queue-service-go - Go source only (no Dockerfile even), zero docker-compose.production.yml entry - not deployed, not code-reviewed this session - part of the same undocumented alternate-language rewrite track as monitoring-go/rate-limit-service-go - Owner inferred to match queue-service/SRV-QUEUE-001's The Queen, not independently confirmed - StatusCode STS-002/Building reflects non-deployment and non-review</t>
        </is>
      </c>
    </row>
    <row r="67">
      <c r="A67" s="2" t="inlineStr">
        <is>
          <t>SRV-RATELIMIT-001</t>
        </is>
      </c>
      <c r="B67" s="2" t="inlineStr">
        <is>
          <t>Rate Limit Service</t>
        </is>
      </c>
      <c r="C67" s="2" t="inlineStr">
        <is>
          <t>Renik</t>
        </is>
      </c>
      <c r="D67" s="2" t="inlineStr">
        <is>
          <t>Active</t>
        </is>
      </c>
      <c r="E67" s="2" t="inlineStr">
        <is>
          <t>CRT-001</t>
        </is>
      </c>
      <c r="F67" s="2" t="inlineStr">
        <is>
          <t>Not yet reviewed</t>
        </is>
      </c>
      <c r="G67" s="2" t="inlineStr">
        <is>
          <t>rate-limit-service worker port 8026 - Dockerfile CMD hardcodes --port 8026, matching the code's own PORT-env default - owner is Cryptex's Lead AI per PLATFORM_ENTITIES.md's worker-map table - SLA/RPO/RTO/DataClassification are the workbook's existing P-tier default pattern, not independently measured</t>
        </is>
      </c>
    </row>
    <row r="68">
      <c r="A68" s="2" t="inlineStr">
        <is>
          <t>SRV-RATELIMITGO-001</t>
        </is>
      </c>
      <c r="B68" s="2" t="inlineStr">
        <is>
          <t>Rate Limit Service (Go rewrite)</t>
        </is>
      </c>
      <c r="C68" s="2" t="inlineStr">
        <is>
          <t>Renik</t>
        </is>
      </c>
      <c r="D68" s="2" t="inlineStr">
        <is>
          <t>Building</t>
        </is>
      </c>
      <c r="E68" s="2" t="inlineStr">
        <is>
          <t>CRT-003</t>
        </is>
      </c>
      <c r="F68" s="2" t="inlineStr">
        <is>
          <t>Not applicable</t>
        </is>
      </c>
      <c r="G68" s="2" t="inlineStr">
        <is>
          <t>rate-limit-service-go - Go source only (no Dockerfile even), zero docker-compose.production.yml entry - not deployed, not code-reviewed this session - part of the same undocumented alternate-language rewrite track as monitoring-go/queue-service-go, plus a separate Rust variant (rate-limit-service-rs) also exists and is also unreviewed - three unreviewed rewrite variants of one logical service is itself worth flagging - Owner inferred to match rate-limit-service/SRV-RATELIMIT-001's Renik, not independently confirmed - StatusCode STS-002/Building reflects non-deployment and non-review</t>
        </is>
      </c>
    </row>
    <row r="69">
      <c r="A69" s="2" t="inlineStr">
        <is>
          <t>SRV-REMOTION-001</t>
        </is>
      </c>
      <c r="B69" s="2" t="inlineStr">
        <is>
          <t>Remotion Render Service</t>
        </is>
      </c>
      <c r="C69" s="2" t="inlineStr">
        <is>
          <t>Benji Tate &amp; Sam King</t>
        </is>
      </c>
      <c r="D69" s="2" t="inlineStr">
        <is>
          <t>Active</t>
        </is>
      </c>
      <c r="E69" s="2" t="inlineStr">
        <is>
          <t>CRT-003</t>
        </is>
      </c>
      <c r="F69" s="2" t="inlineStr">
        <is>
          <t>Verified</t>
        </is>
      </c>
      <c r="G69" s="2" t="inlineStr">
        <is>
          <t>remotion-render-service (Node.js) - compose sets PORT=8093 and expose 8093 but has NO ports: mapping (internal-only, not published to host) and explicit traefik.enable=false label - this appears to be a deliberate internal-only render worker, not a bug, but was not independently confirmed against actual code beyond the /health route and compose block - Owner Benji Tate &amp; Sam King per its own compose comment - CRT-003/relaxed SLA given render workers are typically async/batch, not request-path critical</t>
        </is>
      </c>
    </row>
    <row r="70">
      <c r="A70" s="2" t="inlineStr">
        <is>
          <t>SRV-RESONATE-001</t>
        </is>
      </c>
      <c r="B70" s="2" t="inlineStr">
        <is>
          <t>Resonate</t>
        </is>
      </c>
      <c r="C70" s="2" t="inlineStr">
        <is>
          <t>Magdalena</t>
        </is>
      </c>
      <c r="D70" s="2" t="inlineStr">
        <is>
          <t>Active</t>
        </is>
      </c>
      <c r="E70" s="2" t="inlineStr">
        <is>
          <t>CRT-002</t>
        </is>
      </c>
      <c r="F70" s="2" t="inlineStr">
        <is>
          <t>Verified</t>
        </is>
      </c>
      <c r="G70" s="2" t="inlineStr">
        <is>
          <t>resonate worker port 8076 - verified /health route (via @_router.get), code-level PORT default matches Dockerfile EXPOSE/CMD and compose's PORT=8076 exactly - no bug found - Owner Magdalena per CLAUDE.md's Named Services table - SLA/RPO/RTO/DataClassification are the workbook's existing P-tier default pattern</t>
        </is>
      </c>
    </row>
    <row r="71">
      <c r="A71" s="2" t="inlineStr">
        <is>
          <t>SRV-SASHASPHOTO-001</t>
        </is>
      </c>
      <c r="B71" s="2" t="inlineStr">
        <is>
          <t>Sashas Photo Studio</t>
        </is>
      </c>
      <c r="C71" s="2" t="inlineStr">
        <is>
          <t>Madam Krystal</t>
        </is>
      </c>
      <c r="D71" s="2" t="inlineStr">
        <is>
          <t>Active</t>
        </is>
      </c>
      <c r="E71" s="2" t="inlineStr">
        <is>
          <t>CRT-002</t>
        </is>
      </c>
      <c r="F71" s="2" t="inlineStr">
        <is>
          <t>Verified</t>
        </is>
      </c>
      <c r="G71" s="2" t="inlineStr">
        <is>
          <t>sashas-photo-studio worker port 8062 - verified /health route (via @_router.get) - CMD invokes main.py, not worker.py; main.py's own PORT default (os.getenv("PORT", "8051")) and the Dockerfile's EXPOSE (8051) are self-consistent with each other but do NOT match compose's actual PORT=8062 - same harmless dead-code-default class of bug (compose's env override wins at runtime), not fixed - name intentionally has no apostrophe per CLAUDE.md's naming rules (Sashas Photo Studio, not Sasha's) - Owner Madam Krystal per CLAUDE.md's Named Services table - SLA/RPO/RTO/DataClassification are the workbook's existing P-tier default pattern</t>
        </is>
      </c>
    </row>
    <row r="72">
      <c r="A72" s="2" t="inlineStr">
        <is>
          <t>SRV-SEARCH-001</t>
        </is>
      </c>
      <c r="B72" s="2" t="inlineStr">
        <is>
          <t>Search Service</t>
        </is>
      </c>
      <c r="C72" s="2" t="inlineStr">
        <is>
          <t>Zimik</t>
        </is>
      </c>
      <c r="D72" s="2" t="inlineStr">
        <is>
          <t>Active</t>
        </is>
      </c>
      <c r="E72" s="2" t="inlineStr">
        <is>
          <t>CRT-001</t>
        </is>
      </c>
      <c r="F72" s="2" t="inlineStr">
        <is>
          <t>Verified</t>
        </is>
      </c>
      <c r="G72" s="2" t="inlineStr">
        <is>
          <t>search-service worker port 8017 - the code's own os.getenv('PORT', '8083') default would be wrong, but Dockerfile CMD hardcodes --port 8017, so the container actually listens on 8017 as compose expects - same override pattern CLAUDE.md documents as resolved for audit-service/queue-service - owner is The Library's Lead AI per PLATFORM_ENTITIES.md's worker-map table - SLA/RPO/RTO/DataClassification are the workbook's existing P-tier default pattern, not independently measured</t>
        </is>
      </c>
    </row>
    <row r="73">
      <c r="A73" s="2" t="inlineStr">
        <is>
          <t>SRV-SENTINEL-001</t>
        </is>
      </c>
      <c r="B73" s="2" t="inlineStr">
        <is>
          <t>Sentinel Station Service</t>
        </is>
      </c>
      <c r="C73" s="2" t="inlineStr">
        <is>
          <t>Unmapped</t>
        </is>
      </c>
      <c r="D73" s="2" t="inlineStr">
        <is>
          <t>Active</t>
        </is>
      </c>
      <c r="E73" s="2" t="inlineStr">
        <is>
          <t>CRT-001</t>
        </is>
      </c>
      <c r="F73" s="2" t="inlineStr">
        <is>
          <t>Verified</t>
        </is>
      </c>
      <c r="G73" s="2" t="inlineStr">
        <is>
          <t>CORRECTION: this session's earlier 'no bug found' verdict was wrong - two stacked bugs found. (1) Dockerfile COPY paths (workers/sentinel-station-service/...) were written for a repo-root context, but compose gave it an isolated context: ./workers/sentinel-station-service - the nested COPY source never existed, so the build failed immediately, same class of bug as turings-hub-service's fixed COPY-path bug. (2) worker.py also imports Dimensional.dimensionals and Dimensional.infinity.* which weren't available either way. FIXED by changing compose's context to '.' (repo root) with an explicit dockerfile: path, matching the Dockerfile's own already-repo-root-relative COPY paths, and adding a Dimensional/ COPY line - re-verified working end-to-end via clean-room import test - sentinel-station-service port 8041 - no lead_ai self-reported and no entry in PLATFORM_ENTITIES.md's worker-map table names an owning entity - despite the 'guardian' name this is NOT confirmed to be The Guardian's Cryptex/Void/Warp-Tunnel/Ice-Box/Lighthouse group - Owner genuinely Unmapped, not guessed - SLA/RPO/RTO/DataClassification are the workbook's existing P-tier default pattern</t>
        </is>
      </c>
    </row>
    <row r="74">
      <c r="A74" s="2" t="inlineStr">
        <is>
          <t>SRV-SHARDS-001</t>
        </is>
      </c>
      <c r="B74" s="2" t="inlineStr">
        <is>
          <t>Infinity Shards</t>
        </is>
      </c>
      <c r="C74" s="2" t="inlineStr">
        <is>
          <t>The Guardian (Anchor: Orb of Orisis)</t>
        </is>
      </c>
      <c r="D74" s="2" t="inlineStr">
        <is>
          <t>Building</t>
        </is>
      </c>
      <c r="E74" s="2" t="inlineStr">
        <is>
          <t>CRT-001</t>
        </is>
      </c>
      <c r="F74" s="2" t="inlineStr">
        <is>
          <t>Verified</t>
        </is>
      </c>
      <c r="G74" s="2" t="inlineStr">
        <is>
          <t>CORRECTION: worker.py imports src.database.encrypted_sqlite (which itself needs src.errors.error_catalog) unconditionally, but none of src/ was ever COPYd and cryptography wasn't even in requirements-worker.txt - confirmed broken via clean-room ModuleNotFoundError repro, FIXED by adding src/database/ + src/errors/ COPY lines and the missing cryptography==48.0.1 dependency, re-verified working - infinity-shards-service port 8045 - StatusCode is STS-002 (Building), matching config/estate/registry.yaml TRC-P1-006's status: building (not Active) - SLA/RPO/RTO/DataClassification are the workbook's existing P1-tier default pattern, not independently measured for this service yet</t>
        </is>
      </c>
    </row>
    <row r="75">
      <c r="A75" s="2" t="inlineStr">
        <is>
          <t>SRV-SKILLSBENCH-001</t>
        </is>
      </c>
      <c r="B75" s="2" t="inlineStr">
        <is>
          <t>Skills Benchmark Service</t>
        </is>
      </c>
      <c r="C75" s="2" t="inlineStr">
        <is>
          <t>Samantha Turing</t>
        </is>
      </c>
      <c r="D75" s="2" t="inlineStr">
        <is>
          <t>Active</t>
        </is>
      </c>
      <c r="E75" s="2" t="inlineStr">
        <is>
          <t>CRT-001</t>
        </is>
      </c>
      <c r="F75" s="2" t="inlineStr">
        <is>
          <t>Not yet reviewed</t>
        </is>
      </c>
      <c r="G75" s="2" t="inlineStr">
        <is>
          <t>skills-benchmark-service worker port 8035 - verified /health route in workers/skills-benchmark-service/worker.py - owner inferred from CLAUDE.md's own role text 'Turing's Hub benchmarks' naming Turing's Hub (Samantha Turing), not from the worker-map table which has no entry for this port - SLA/RPO/RTO/DataClassification are the workbook's existing P-tier default pattern, not independently measured</t>
        </is>
      </c>
    </row>
    <row r="76">
      <c r="A76" s="2" t="inlineStr">
        <is>
          <t>SRV-SMS-001</t>
        </is>
      </c>
      <c r="B76" s="2" t="inlineStr">
        <is>
          <t>SMS Service</t>
        </is>
      </c>
      <c r="C76" s="2" t="inlineStr">
        <is>
          <t>Nexus-Prime</t>
        </is>
      </c>
      <c r="D76" s="2" t="inlineStr">
        <is>
          <t>Active</t>
        </is>
      </c>
      <c r="E76" s="2" t="inlineStr">
        <is>
          <t>CRT-001</t>
        </is>
      </c>
      <c r="F76" s="2" t="inlineStr">
        <is>
          <t>Not yet reviewed</t>
        </is>
      </c>
      <c r="G76" s="2" t="inlineStr">
        <is>
          <t>sms-service worker port 8019 - Dockerfile CMD hardcodes --port 8019, matching the code's own PORT-env default - owner is The Nexus's Lead AI per PLATFORM_ENTITIES.md's worker-map table - SLA/RPO/RTO/DataClassification are the workbook's existing P-tier default pattern, not independently measured</t>
        </is>
      </c>
    </row>
    <row r="77">
      <c r="A77" s="2" t="inlineStr">
        <is>
          <t>SRV-SPARK-001</t>
        </is>
      </c>
      <c r="B77" s="2" t="inlineStr">
        <is>
          <t>MCP Server</t>
        </is>
      </c>
      <c r="C77" s="2" t="inlineStr">
        <is>
          <t>Norman Hawkins</t>
        </is>
      </c>
      <c r="D77" s="2" t="inlineStr">
        <is>
          <t>Active</t>
        </is>
      </c>
      <c r="E77" s="2" t="inlineStr">
        <is>
          <t>CRT-001</t>
        </is>
      </c>
      <c r="F77" s="2" t="inlineStr">
        <is>
          <t>Verified</t>
        </is>
      </c>
      <c r="G77" s="2" t="inlineStr">
        <is>
          <t>Mounted on tranc3-backend port 8000</t>
        </is>
      </c>
    </row>
    <row r="78">
      <c r="A78" s="2" t="inlineStr">
        <is>
          <t>SRV-STORAGE-001</t>
        </is>
      </c>
      <c r="B78" s="2" t="inlineStr">
        <is>
          <t>Storage Service</t>
        </is>
      </c>
      <c r="C78" s="2" t="inlineStr">
        <is>
          <t>To be Defined</t>
        </is>
      </c>
      <c r="D78" s="2" t="inlineStr">
        <is>
          <t>Active</t>
        </is>
      </c>
      <c r="E78" s="2" t="inlineStr">
        <is>
          <t>CRT-001</t>
        </is>
      </c>
      <c r="F78" s="2" t="inlineStr">
        <is>
          <t>Not yet reviewed</t>
        </is>
      </c>
      <c r="G78" s="2" t="inlineStr">
        <is>
          <t>storage-service worker port 8020 (STORAGE_PORT env var, matches code default) - owner is DocUtari, whose Lead AI is literally 'To be Defined' per PLATFORM_ENTITIES.md - SLA/RPO/RTO/DataClassification are the workbook's existing P-tier default pattern, not independently measured</t>
        </is>
      </c>
    </row>
    <row r="79">
      <c r="A79" s="2" t="inlineStr">
        <is>
          <t>SRV-STUDIOWORKER-001</t>
        </is>
      </c>
      <c r="B79" s="2" t="inlineStr">
        <is>
          <t>The Studio (standalone worker)</t>
        </is>
      </c>
      <c r="C79" s="2" t="inlineStr">
        <is>
          <t>Voxx</t>
        </is>
      </c>
      <c r="D79" s="2" t="inlineStr">
        <is>
          <t>Active</t>
        </is>
      </c>
      <c r="E79" s="2" t="inlineStr">
        <is>
          <t>CRT-002</t>
        </is>
      </c>
      <c r="F79" s="2" t="inlineStr">
        <is>
          <t>Verified</t>
        </is>
      </c>
      <c r="G79" s="2" t="inlineStr">
        <is>
          <t>workers/the-studio port 8069 - verified /health route (via @_router.get), code-level PORT default matches Dockerfile EXPOSE/CMD and compose's PORT=8069 - Owner Voxx per CLAUDE.md - NOTE: this is a distinct standalone worker from src/studio/ (mounted directly on the tranc3-backend app per CLAUDE.md's 'Named subsystems' table) which also represents The Studio - both exist in the repo under the same entity name; ServiceID intentionally disambiguated as STUDIOWORKER rather than reusing STUDIO to avoid implying they are the same deployment - SLA/RPO/RTO/DataClassification are the workbook's existing P-tier default pattern</t>
        </is>
      </c>
    </row>
    <row r="80">
      <c r="A80" s="2" t="inlineStr">
        <is>
          <t>SRV-SWARM-001</t>
        </is>
      </c>
      <c r="B80" s="2" t="inlineStr">
        <is>
          <t>Swarm Coordinator Service</t>
        </is>
      </c>
      <c r="C80" s="2" t="inlineStr">
        <is>
          <t>Unmapped</t>
        </is>
      </c>
      <c r="D80" s="2" t="inlineStr">
        <is>
          <t>Active</t>
        </is>
      </c>
      <c r="E80" s="2" t="inlineStr">
        <is>
          <t>CRT-001</t>
        </is>
      </c>
      <c r="F80" s="2" t="inlineStr">
        <is>
          <t>Verified</t>
        </is>
      </c>
      <c r="G80" s="2" t="inlineStr">
        <is>
          <t>swarm-coordinator-service worker port 8109 - verified /health route; found and fixed a real bug this session: /health called health_entity_block(8053, ...) which is Cryptex's port, not this service's own 8109, causing this worker to misreport itself as Cryptex in its own health JSON - corrected to health_entity_block(WORKER_PORT, ...) (commit this session) - with the fix, port 8109 has no entry in PLATFORM_ENTITIES.md's worker-map table, so Owner is genuinely Unmapped, not guessed - SLA/RPO/RTO/DataClassification are the workbook's existing P-tier default pattern</t>
        </is>
      </c>
    </row>
    <row r="81">
      <c r="A81" s="2" t="inlineStr">
        <is>
          <t>SRV-TAIMRA-001</t>
        </is>
      </c>
      <c r="B81" s="2" t="inlineStr">
        <is>
          <t>tAimra</t>
        </is>
      </c>
      <c r="C81" s="2" t="inlineStr">
        <is>
          <t>tAImra</t>
        </is>
      </c>
      <c r="D81" s="2" t="inlineStr">
        <is>
          <t>Active</t>
        </is>
      </c>
      <c r="E81" s="2" t="inlineStr">
        <is>
          <t>CRT-002</t>
        </is>
      </c>
      <c r="F81" s="2" t="inlineStr">
        <is>
          <t>Verified</t>
        </is>
      </c>
      <c r="G81" s="2" t="inlineStr">
        <is>
          <t>taimra worker port 8074 - verified /health route (via @_router.get) - code-level PORT default (os.getenv("PORT") or "8065") does NOT match its actual Dockerfile EXPOSE (8074) or compose's PORT=8074 - same harmless dead-code-default class of bug, not fixed - Owner tAImra (Lead AI, distinct capitalisation from the tAimra location name per CLAUDE.md's own naming rules) - DataClassification set to DC-004 (Restricted) given this is an opt-in personal digital-twin service handling sensitive personal data - SLA/RPO/RTO/DataClassification otherwise the workbook's existing P-tier default pattern</t>
        </is>
      </c>
    </row>
    <row r="82">
      <c r="A82" s="2" t="inlineStr">
        <is>
          <t>SRV-TATEKING-001</t>
        </is>
      </c>
      <c r="B82" s="2" t="inlineStr">
        <is>
          <t>TateKing</t>
        </is>
      </c>
      <c r="C82" s="2" t="inlineStr">
        <is>
          <t>Benji Tate &amp; Sam King</t>
        </is>
      </c>
      <c r="D82" s="2" t="inlineStr">
        <is>
          <t>Active</t>
        </is>
      </c>
      <c r="E82" s="2" t="inlineStr">
        <is>
          <t>CRT-002</t>
        </is>
      </c>
      <c r="F82" s="2" t="inlineStr">
        <is>
          <t>Verified</t>
        </is>
      </c>
      <c r="G82" s="2" t="inlineStr">
        <is>
          <t>tateking worker port 8061 - verified /health route (via @_router.get) - CMD invokes main.py, not worker.py; main.py's own PORT default (os.getenv("PORT", "8061")) matches the Dockerfile EXPOSE (8061) AND compose's PORT=8061 exactly - no bug found, fully consistent unlike its sibling sashas-photo-studio - Owner Benji Tate &amp; Sam King per CLAUDE.md's Named Services table - SLA/RPO/RTO/DataClassification are the workbook's existing P-tier default pattern, MaxResponseTimeMs relaxed to 5000 given video processing workloads</t>
        </is>
      </c>
    </row>
    <row r="83">
      <c r="A83" s="2" t="inlineStr">
        <is>
          <t>SRV-THEGRID-001</t>
        </is>
      </c>
      <c r="B83" s="2" t="inlineStr">
        <is>
          <t>The Digital Grid Workflow Orchestration</t>
        </is>
      </c>
      <c r="C83" s="2" t="inlineStr">
        <is>
          <t>Tyler Towncroft</t>
        </is>
      </c>
      <c r="D83" s="2" t="inlineStr">
        <is>
          <t>Active</t>
        </is>
      </c>
      <c r="E83" s="2" t="inlineStr">
        <is>
          <t>CRT-001</t>
        </is>
      </c>
      <c r="F83" s="2" t="inlineStr">
        <is>
          <t>Verified</t>
        </is>
      </c>
      <c r="G83" s="2" t="inlineStr">
        <is>
          <t>the-grid worker port 8010 - distinct from SRV-GRID-001 (src/workflow/, mounted on tranc3-backend :8000) - verified /health route in workers/the-grid/main.py - SLA/RPO/RTO/DataClassification are the workbook's existing P-tier default pattern, not independently measured</t>
        </is>
      </c>
    </row>
    <row r="84">
      <c r="A84" s="2" t="inlineStr">
        <is>
          <t>SRV-TOPOLOGY-001</t>
        </is>
      </c>
      <c r="B84" s="2" t="inlineStr">
        <is>
          <t>Topology Service</t>
        </is>
      </c>
      <c r="C84" s="2" t="inlineStr">
        <is>
          <t>Unmapped</t>
        </is>
      </c>
      <c r="D84" s="2" t="inlineStr">
        <is>
          <t>Active</t>
        </is>
      </c>
      <c r="E84" s="2" t="inlineStr">
        <is>
          <t>CRT-001</t>
        </is>
      </c>
      <c r="F84" s="2" t="inlineStr">
        <is>
          <t>Not yet reviewed</t>
        </is>
      </c>
      <c r="G84" s="2" t="inlineStr">
        <is>
          <t>topology-service worker port 8031 - verified /health route, no lead_ai self-reported and no entry in PLATFORM_ENTITIES.md's worker-map table or CLAUDE.md's role/description column names an owning entity - Owner genuinely Unmapped, not guessed - SLA/RPO/RTO/DataClassification are the workbook's existing P-tier default pattern</t>
        </is>
      </c>
    </row>
    <row r="85">
      <c r="A85" s="2" t="inlineStr">
        <is>
          <t>SRV-TRANC3AI-001</t>
        </is>
      </c>
      <c r="B85" s="2" t="inlineStr">
        <is>
          <t>Tranc3 AI Worker</t>
        </is>
      </c>
      <c r="C85" s="2" t="inlineStr">
        <is>
          <t>Unmapped</t>
        </is>
      </c>
      <c r="D85" s="2" t="inlineStr">
        <is>
          <t>Active</t>
        </is>
      </c>
      <c r="E85" s="2" t="inlineStr">
        <is>
          <t>CRT-001</t>
        </is>
      </c>
      <c r="F85" s="2" t="inlineStr">
        <is>
          <t>Verified</t>
        </is>
      </c>
      <c r="G85" s="2" t="inlineStr">
        <is>
          <t>tranc3-ai worker port 8001 - verified /health route and clean import, no Dimensional/src import bug (single self-contained file), code/Dockerfile/compose all agree on 8001 - depends_on tranc3-backend - Owner genuinely Unmapped (this is the self-hosted successor to a legacy CF Worker, not itself one of the 43 named locations, and CLAUDE.md doesn't assign it a Lead AI directly)</t>
        </is>
      </c>
    </row>
    <row r="86">
      <c r="A86" s="2" t="inlineStr">
        <is>
          <t>SRV-TRANCEFLOW-001</t>
        </is>
      </c>
      <c r="B86" s="2" t="inlineStr">
        <is>
          <t>TranceFlow</t>
        </is>
      </c>
      <c r="C86" s="2" t="inlineStr">
        <is>
          <t>Junior Cesar</t>
        </is>
      </c>
      <c r="D86" s="2" t="inlineStr">
        <is>
          <t>Active</t>
        </is>
      </c>
      <c r="E86" s="2" t="inlineStr">
        <is>
          <t>CRT-002</t>
        </is>
      </c>
      <c r="F86" s="2" t="inlineStr">
        <is>
          <t>Verified</t>
        </is>
      </c>
      <c r="G86" s="2" t="inlineStr">
        <is>
          <t>tranceflow worker port 8059 - verified /health route not directly grepped this pass but Dockerfile CMD/EXPOSE (8059) matches docker-compose.production.yml's PORT=8059 exactly, unlike the two broken services above - code-level PORT default (8067) is dead/wrong like the-dutchy's, but again harmless because compose's explicit PORT env wins - Owner Junior Cesar per CLAUDE.md's Named Services table - SLA/RPO/RTO/DataClassification are the workbook's existing P-tier default pattern</t>
        </is>
      </c>
    </row>
    <row r="87">
      <c r="A87" s="2" t="inlineStr">
        <is>
          <t>SRV-TRANQUILITY-001</t>
        </is>
      </c>
      <c r="B87" s="2" t="inlineStr">
        <is>
          <t>Tranquility</t>
        </is>
      </c>
      <c r="C87" s="2" t="inlineStr">
        <is>
          <t>Savania</t>
        </is>
      </c>
      <c r="D87" s="2" t="inlineStr">
        <is>
          <t>Active</t>
        </is>
      </c>
      <c r="E87" s="2" t="inlineStr">
        <is>
          <t>CRT-002</t>
        </is>
      </c>
      <c r="F87" s="2" t="inlineStr">
        <is>
          <t>Verified</t>
        </is>
      </c>
      <c r="G87" s="2" t="inlineStr">
        <is>
          <t>tranquility worker port 8077 - verified /health route (via @_router.get) - code-level PORT default (os.getenv("PORT") or "8058") does NOT match its actual Dockerfile EXPOSE (8077) or compose's PORT=8077 - same harmless dead-code-default class of bug already documented for the-dutchy/tranceflow/basement/devocity/warp-radio/taimra/imind, not fixed - Owner Savania per CLAUDE.md's Named Services table - SLA/RPO/RTO/DataClassification are the workbook's existing P-tier default pattern</t>
        </is>
      </c>
    </row>
    <row r="88">
      <c r="A88" s="2" t="inlineStr">
        <is>
          <t>SRV-TRIPOSR-001</t>
        </is>
      </c>
      <c r="B88" s="2" t="inlineStr">
        <is>
          <t>TripoSR Worker</t>
        </is>
      </c>
      <c r="C88" s="2" t="inlineStr">
        <is>
          <t>Madam Krystal</t>
        </is>
      </c>
      <c r="D88" s="2" t="inlineStr">
        <is>
          <t>Active</t>
        </is>
      </c>
      <c r="E88" s="2" t="inlineStr">
        <is>
          <t>CRT-002</t>
        </is>
      </c>
      <c r="F88" s="2" t="inlineStr">
        <is>
          <t>Verified</t>
        </is>
      </c>
      <c r="G88" s="2" t="inlineStr">
        <is>
          <t>triposr-worker port 8111 - REAL routing defect found and FIXED this session: Dockerfile EXPOSE/CMD/HEALTHCHECK all hardcoded port 8051 while docker-compose.production.yml maps/exposes 8111:8111 (container would have listened on 8051, unreachable via the compose-published 8111) - fixed to 8111 throughout, including the compose comment header which also said 8051 - code-level PORT default (was 8092, harmless dead code either way since Dockerfile CMD hardcodes the real port) also corrected to 8111 for consistency - TripoSR itself is an optional heavy dependency the worker degrades gracefully without (returns 503) - Owner Madam Krystal per its own compose comment 'Image-to-3D for Sashas Photo Studio' - MaxResponseTimeMs relaxed for 3D mesh generation workloads</t>
        </is>
      </c>
    </row>
    <row r="89">
      <c r="A89" s="2" t="inlineStr">
        <is>
          <t>SRV-TURINGSHUB-001</t>
        </is>
      </c>
      <c r="B89" s="2" t="inlineStr">
        <is>
          <t>Turing's Hub Service</t>
        </is>
      </c>
      <c r="C89" s="2" t="inlineStr">
        <is>
          <t>Samantha Turing</t>
        </is>
      </c>
      <c r="D89" s="2" t="inlineStr">
        <is>
          <t>Active</t>
        </is>
      </c>
      <c r="E89" s="2" t="inlineStr">
        <is>
          <t>CRT-002</t>
        </is>
      </c>
      <c r="F89" s="2" t="inlineStr">
        <is>
          <t>Verified</t>
        </is>
      </c>
      <c r="G89" s="2" t="inlineStr">
        <is>
          <t>turings-hub-service worker port 8058 - THREE real bugs found and FIXED this session: (1) Dockerfile COPY lines referenced 'workers/turings-hub-service/requirements-worker.txt' and 'workers/turings-hub-service/worker.py' as if the build context were the repo root, but compose's actual context is ./workers/turings-hub-service - the nested path never existed, so the image could not build at all - fixed by stripping the redundant path prefix; (2) Dockerfile EXPOSE/HEALTHCHECK/CMD all hardcoded port 8035 while docker-compose.production.yml wires PORT=8058/expose 8058/ports 8058:8058 - a real routing defect (container would have listened on 8035, unreachable via the compose-published 8058) - fixed to 8058 throughout; (3) worker.py's own PORT variable was hardcoded to 8085 (matching neither 8035 nor 8058, and never actually read by the Dockerfile's direct uvicorn CMD invocation, only used for its own /health JSON self-report) - fixed to read os.environ.get("PORT", "8058") - Owner Samantha Turing per CLAUDE.md's Named Services table - SLA/RPO/RTO/DataClassification are the workbook's existing P-tier default pattern</t>
        </is>
      </c>
    </row>
    <row r="90">
      <c r="A90" s="2" t="inlineStr">
        <is>
          <t>SRV-USERS-001</t>
        </is>
      </c>
      <c r="B90" s="2" t="inlineStr">
        <is>
          <t>Users Service</t>
        </is>
      </c>
      <c r="C90" s="2" t="inlineStr">
        <is>
          <t>The Guardian (Anchor: Orb of Orisis)</t>
        </is>
      </c>
      <c r="D90" s="2" t="inlineStr">
        <is>
          <t>Active</t>
        </is>
      </c>
      <c r="E90" s="2" t="inlineStr">
        <is>
          <t>CRT-001</t>
        </is>
      </c>
      <c r="F90" s="2" t="inlineStr">
        <is>
          <t>Verified</t>
        </is>
      </c>
      <c r="G90" s="2" t="inlineStr">
        <is>
          <t>users-service port 8006 - verified /health route in workers/users-service/worker.py - SLA/RPO/RTO/DataClassification are the workbook's existing P1-tier default pattern (matches SRV-INF-001), not independently measured for this service yet</t>
        </is>
      </c>
    </row>
    <row r="91">
      <c r="A91" s="2" t="inlineStr">
        <is>
          <t>SRV-VOID-001</t>
        </is>
      </c>
      <c r="B91" s="2" t="inlineStr">
        <is>
          <t>Secrets Vault</t>
        </is>
      </c>
      <c r="C91" s="2" t="inlineStr">
        <is>
          <t>Prometheus</t>
        </is>
      </c>
      <c r="D91" s="2" t="inlineStr">
        <is>
          <t>Building</t>
        </is>
      </c>
      <c r="E91" s="2" t="inlineStr">
        <is>
          <t>CRT-001</t>
        </is>
      </c>
      <c r="F91" s="2" t="inlineStr">
        <is>
          <t>Flagged</t>
        </is>
      </c>
      <c r="G91" s="2" t="inlineStr">
        <is>
          <t>SECOND CORRECTION this session: the earlier 'unreachable 8038' finding below was itself wrong and has been fixed/re-verified. workers/vault-service/Dockerfile's CMD invokes 'uvicorn worker:app --host 0.0.0.0 --port 8038' directly - that is what actually runs in the container - so the previously-flagged uvicorn.run(..., port=8030) inside the 'if __name__ == "__main__":' block was dead code, only reachable via a direct 'python worker.py' invocation that the Dockerfile never performs; the container was never actually unreachable in production. Fixed anyway this session for correctness/consistency (PORT constant now reads os.environ.get("PORT", "8038") instead of a hardcoded 8086, and the dead __main__ block now uses PORT instead of a second hardcoded 8030) so the two code paths agree. There remain THREE Void-related worker directories: (1) workers/vault-service/ - DEPRECATED per workers/vault-service/DEPRECATED.md (2026-06-14) yet still the one deployed, at compose port 8038:8038, now confirmed genuinely reachable. (2) workers/the-void/ has no Dockerfile and is not referenced anywhere in docker-compose.production.yml - code-only, not deployed. (3) workers/infinity-void/ - a separate, fully self-contained, zero-import-bug Void replacement, also actually deployed and correctly wired at compose port 8002:8002 - see SRV-INFVOID-001. Three working/semi-working Void implementations exist simultaneously; consolidating onto one is a naming/architecture decision for Prometheus/Cornelius, not something this audit resolves</t>
        </is>
      </c>
    </row>
    <row r="92">
      <c r="A92" s="2" t="inlineStr">
        <is>
          <t>SRV-VRAR3D-001</t>
        </is>
      </c>
      <c r="B92" s="2" t="inlineStr">
        <is>
          <t>VRAR3D</t>
        </is>
      </c>
      <c r="C92" s="2" t="inlineStr">
        <is>
          <t>Entari</t>
        </is>
      </c>
      <c r="D92" s="2" t="inlineStr">
        <is>
          <t>Active</t>
        </is>
      </c>
      <c r="E92" s="2" t="inlineStr">
        <is>
          <t>CRT-002</t>
        </is>
      </c>
      <c r="F92" s="2" t="inlineStr">
        <is>
          <t>Flagged</t>
        </is>
      </c>
      <c r="G92" s="2" t="inlineStr">
        <is>
          <t>vrar3d worker port 8060 - verified /health route (via @_router.get) - TWO real bugs found and FIXED this session: (1) Dockerfile CMD/EXPOSE/HEALTHCHECK all hardcoded port 8063 while docker-compose.production.yml maps/exposes 8060 and sets PORT=8060 - a real routing defect (container would have listened on 8063, unreachable via the compose-published 8060) - fixed to 8060 throughout; (2) config.py's WORKER_PORT read a VRAR3D_PORT env var that compose never sets (compose sets plain PORT instead), so even without bug (1) the code would always have fallen back to its own wrong default - fixed to read os.environ.get("PORT", "8060") - Owner Entari, confirmed via config.py's own docstring 'Lead AI: Entari', also matches CLAUDE.md's Named Services table - SLA/RPO/RTO/DataClassification are the workbook's existing P-tier default pattern, MaxResponseTimeMs relaxed to 5000 given 3D mesh processing workloads</t>
        </is>
      </c>
    </row>
    <row r="93">
      <c r="A93" s="2" t="inlineStr">
        <is>
          <t>SRV-WARPRADIO-001</t>
        </is>
      </c>
      <c r="B93" s="2" t="inlineStr">
        <is>
          <t>Warp Radio</t>
        </is>
      </c>
      <c r="C93" s="2" t="inlineStr">
        <is>
          <t>Rocking Ricki</t>
        </is>
      </c>
      <c r="D93" s="2" t="inlineStr">
        <is>
          <t>Active</t>
        </is>
      </c>
      <c r="E93" s="2" t="inlineStr">
        <is>
          <t>CRT-003</t>
        </is>
      </c>
      <c r="F93" s="2" t="inlineStr">
        <is>
          <t>Verified</t>
        </is>
      </c>
      <c r="G93" s="2" t="inlineStr">
        <is>
          <t>warp-radio worker port 8073 - verified /health route (via @_router.get) - code-level PORT default (os.getenv("PORT") or "8057") does NOT match its actual Dockerfile EXPOSE (8073) or compose's PORT=8073 - collides in value with the-dutchy's own real port (8057), coincidental not causal, but a good illustration of why these copy-pasted dead defaults are risky - same harmless-in-practice class of bug, not fixed - Owner Rocking Ricki per CLAUDE.md (also owns The Lighthouse and The Warp Tunnel) - CRT-003/relaxed SLA since this is a media/entertainment feature, not core infra</t>
        </is>
      </c>
    </row>
    <row r="94">
      <c r="A94" s="2" t="inlineStr">
        <is>
          <t>SRV-WARPTUNNEL-001</t>
        </is>
      </c>
      <c r="B94" s="2" t="inlineStr">
        <is>
          <t>The Warp Tunnel</t>
        </is>
      </c>
      <c r="C94" s="2" t="inlineStr">
        <is>
          <t>Rocking Ricki</t>
        </is>
      </c>
      <c r="D94" s="2" t="inlineStr">
        <is>
          <t>Active</t>
        </is>
      </c>
      <c r="E94" s="2" t="inlineStr">
        <is>
          <t>CRT-001</t>
        </is>
      </c>
      <c r="F94" s="2" t="inlineStr">
        <is>
          <t>Verified</t>
        </is>
      </c>
      <c r="G94" s="2" t="inlineStr">
        <is>
          <t>warp-tunnel worker port 8072 (PORT env var set in compose; code default without it is 8040) - verified /health route in workers/warp-tunnel/worker.py, health response confirms lead_ai Rocking Ricki - owner is The Warp Tunnel's Lead AI per CLAUDE.md and PLATFORM_ENTITIES.md's AID-GRD-01 grouping - SLA/RPO/RTO/DataClassification are the workbook's existing P-tier default pattern, not independently measured</t>
        </is>
      </c>
    </row>
    <row r="95">
      <c r="A95" s="2" t="inlineStr">
        <is>
          <t>SRV-WORKSHOP-001</t>
        </is>
      </c>
      <c r="B95" s="2" t="inlineStr">
        <is>
          <t>Forgejo Git Hosting</t>
        </is>
      </c>
      <c r="C95" s="2" t="inlineStr">
        <is>
          <t>Larry Lowhammer</t>
        </is>
      </c>
      <c r="D95" s="2" t="inlineStr">
        <is>
          <t>Active</t>
        </is>
      </c>
      <c r="E95" s="2" t="inlineStr">
        <is>
          <t>CRT-001</t>
        </is>
      </c>
      <c r="F95" s="2" t="inlineStr">
        <is>
          <t>Verified</t>
        </is>
      </c>
      <c r="G95" s="2" t="inlineStr">
        <is>
          <t>port 3456 - act-runner in deploy/forgejo/</t>
        </is>
      </c>
    </row>
    <row r="96">
      <c r="A96" s="2" t="inlineStr">
        <is>
          <t>SRV-WS-001</t>
        </is>
      </c>
      <c r="B96" s="2" t="inlineStr">
        <is>
          <t>Infinity WS (The Nexus WebSocket hub)</t>
        </is>
      </c>
      <c r="C96" s="2" t="inlineStr">
        <is>
          <t>The Nexus</t>
        </is>
      </c>
      <c r="D96" s="2" t="inlineStr">
        <is>
          <t>Active</t>
        </is>
      </c>
      <c r="E96" s="2" t="inlineStr">
        <is>
          <t>CRT-001</t>
        </is>
      </c>
      <c r="F96" s="2" t="inlineStr">
        <is>
          <t>Verified</t>
        </is>
      </c>
      <c r="G96" s="2" t="inlineStr">
        <is>
          <t>PREVIOUSLY MISSING from this workbook entirely - infinity-ws is a P0-priority anchor per CLAUDE.md's own Self-Hosted Worker Map (port 8004, replaces CF infinity-ws-api) and should have been documented alongside the original 6 anchors (Spark/Grid/Infinity/Void/Workshop/Observatory) in the very first audit batch this session - caught late, added now. Found and FIXED a real deployment-breaking bug while adding it: worker.py had the identical unconditional 'from Dimensional.sanitize import sanitize_for_log' out-of-build-context import bug already found and fixed in workers/infinity-ai earlier this session - vendored a local sanitize.py and updated the Dockerfile to copy it. Verified end-to-end (import + route registration, JWT_SECRET required at import time by design). NOTE: docker-compose.production.yml ALSO deploys a separate workers/nexus-ws-rs/ (Rust rewrite, host port 8100 -&gt; container 8004, no host-port collision with this Python service's own 8004:8004 mapping) - not documented anywhere in CLAUDE.md and not further investigated this pass; flagged as a parallel undocumented Rust-rewrite track alongside vault-service-rs and rate-limit-service-rs, worth its own audit pass</t>
        </is>
      </c>
    </row>
    <row r="99">
      <c r="A99" s="3" t="inlineStr">
        <is>
          <t>Summary</t>
        </is>
      </c>
    </row>
    <row r="100">
      <c r="A100" t="inlineStr">
        <is>
          <t>Total services in EA workbook</t>
        </is>
      </c>
      <c r="B100">
        <f>COUNTA(A5:A96)</f>
        <v/>
      </c>
    </row>
    <row r="101">
      <c r="A101" t="inlineStr">
        <is>
          <t>Owner = Unmapped</t>
        </is>
      </c>
      <c r="B101">
        <f>COUNTIF(C5:C96,"Unmapped")</f>
        <v/>
      </c>
    </row>
    <row r="102">
      <c r="A102" t="inlineStr">
        <is>
          <t>Status = Active</t>
        </is>
      </c>
      <c r="B102">
        <f>COUNTIF(D5:D96,"Active")</f>
        <v/>
      </c>
    </row>
    <row r="103">
      <c r="A103" t="inlineStr">
        <is>
          <t>Status = Building (not live)</t>
        </is>
      </c>
      <c r="B103">
        <f>COUNTIF(D5:D96,"Building")</f>
        <v/>
      </c>
    </row>
    <row r="104">
      <c r="A104" t="inlineStr">
        <is>
          <t>ZeroCostStatus = Not yet reviewed</t>
        </is>
      </c>
      <c r="B104">
        <f>COUNTIF(F5:F96,"Not yet reviewed")</f>
        <v/>
      </c>
    </row>
    <row r="105">
      <c r="A105" t="inlineStr">
        <is>
          <t>ZeroCostStatus = Flagged</t>
        </is>
      </c>
      <c r="B105">
        <f>COUNTIF(F5:F96,"Flagged")</f>
        <v/>
      </c>
    </row>
  </sheetData>
  <mergeCells count="1">
    <mergeCell ref="A2:G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40" customWidth="1" min="5" max="5"/>
    <col width="90" customWidth="1" min="6" max="6"/>
  </cols>
  <sheetData>
    <row r="1">
      <c r="A1" s="5" t="inlineStr">
        <is>
          <t>Access Control Review — mirrored from 19_access_control_review.csv</t>
        </is>
      </c>
    </row>
    <row r="2" ht="55" customHeight="1">
      <c r="A2" s="2" t="inlineStr">
        <is>
          <t>Real, code-checked per-service auth classification (RBAC/ABAC, JWT-only, INTERNAL_SECRET-only, or none), cross-referenced against DataClassification from 02_service_inventory.csv. Only the 23 services with a distinct signal are itemised here — see docs/governance/ACCESS-CONTROL-GOVERNANCE.md section 2 for the full 85-service breakdown including the 62-service INTERNAL_SECRET-only baseline tier not itemised per-row yet.</t>
        </is>
      </c>
    </row>
    <row r="4">
      <c r="A4" s="6" t="inlineStr">
        <is>
          <t>ServiceID</t>
        </is>
      </c>
      <c r="B4" s="6" t="inlineStr">
        <is>
          <t>AuthMechanism</t>
        </is>
      </c>
      <c r="C4" s="6" t="inlineStr">
        <is>
          <t>DataClassification</t>
        </is>
      </c>
      <c r="D4" s="6" t="inlineStr">
        <is>
          <t>DifferentiatesUserAIAgentBot</t>
        </is>
      </c>
      <c r="E4" s="6" t="inlineStr">
        <is>
          <t>RecommendedAction</t>
        </is>
      </c>
      <c r="F4" s="6" t="inlineStr">
        <is>
          <t>Notes</t>
        </is>
      </c>
    </row>
    <row r="5">
      <c r="A5" s="2" t="inlineStr">
        <is>
          <t>SRV-GATEWAY-001</t>
        </is>
      </c>
      <c r="B5" s="2" t="inlineStr">
        <is>
          <t>RBAC/ABAC</t>
        </is>
      </c>
      <c r="C5" s="2" t="inlineStr">
        <is>
          <t>DC-003</t>
        </is>
      </c>
      <c r="D5" s="2" t="b">
        <v>1</v>
      </c>
      <c r="E5" s="2" t="inlineStr">
        <is>
          <t>No action - reference implementation</t>
        </is>
      </c>
      <c r="F5" s="2" t="inlineStr">
        <is>
          <t>Undeployed (see 02_service_inventory.csv) but code-correct - the pattern the rest of the platform should copy</t>
        </is>
      </c>
    </row>
    <row r="6">
      <c r="A6" s="2" t="inlineStr">
        <is>
          <t>SRV-ADMIN-001</t>
        </is>
      </c>
      <c r="B6" s="2" t="inlineStr">
        <is>
          <t>RBAC/ABAC</t>
        </is>
      </c>
      <c r="C6" s="2" t="inlineStr">
        <is>
          <t>DC-003</t>
        </is>
      </c>
      <c r="D6" s="2" t="b">
        <v>1</v>
      </c>
      <c r="E6" s="2" t="inlineStr">
        <is>
          <t>No action - reference implementation</t>
        </is>
      </c>
      <c r="F6" s="2" t="inlineStr">
        <is>
          <t>Deployed and working (fixed this session) - the pattern the rest of the platform should copy</t>
        </is>
      </c>
    </row>
    <row r="7">
      <c r="A7" s="2" t="inlineStr">
        <is>
          <t>SRV-ONE-001</t>
        </is>
      </c>
      <c r="B7" s="2" t="inlineStr">
        <is>
          <t>RBAC/ABAC</t>
        </is>
      </c>
      <c r="C7" s="2" t="inlineStr">
        <is>
          <t>DC-003</t>
        </is>
      </c>
      <c r="D7" s="2" t="b">
        <v>1</v>
      </c>
      <c r="E7" s="2" t="inlineStr">
        <is>
          <t>No action - reference implementation</t>
        </is>
      </c>
      <c r="F7" s="2" t="inlineStr">
        <is>
          <t>Deployed and working (fixed this session) - the pattern the rest of the platform should copy</t>
        </is>
      </c>
    </row>
    <row r="8">
      <c r="A8" s="2" t="inlineStr">
        <is>
          <t>SRV-PORTAL-001</t>
        </is>
      </c>
      <c r="B8" s="2" t="inlineStr">
        <is>
          <t>RBAC/ABAC</t>
        </is>
      </c>
      <c r="C8" s="2" t="inlineStr">
        <is>
          <t>DC-003</t>
        </is>
      </c>
      <c r="D8" s="2" t="b">
        <v>1</v>
      </c>
      <c r="E8" s="2" t="inlineStr">
        <is>
          <t>No action - reference implementation</t>
        </is>
      </c>
      <c r="F8" s="2" t="inlineStr">
        <is>
          <t>Deployed and working (fixed this session) - the pattern the rest of the platform should copy</t>
        </is>
      </c>
    </row>
    <row r="9">
      <c r="A9" s="2" t="inlineStr">
        <is>
          <t>SRV-SENTINEL-001</t>
        </is>
      </c>
      <c r="B9" s="2" t="inlineStr">
        <is>
          <t>RBAC/ABAC</t>
        </is>
      </c>
      <c r="C9" s="2" t="inlineStr">
        <is>
          <t>DC-002</t>
        </is>
      </c>
      <c r="D9" s="2" t="b">
        <v>1</v>
      </c>
      <c r="E9" s="2" t="inlineStr">
        <is>
          <t>No action - reference implementation</t>
        </is>
      </c>
      <c r="F9" s="2" t="inlineStr">
        <is>
          <t>Deployed and working (fixed this session) - the pattern the rest of the platform should copy</t>
        </is>
      </c>
    </row>
    <row r="10">
      <c r="A10" s="2" t="inlineStr">
        <is>
          <t>SRV-APIGW-001</t>
        </is>
      </c>
      <c r="B10" s="2" t="inlineStr">
        <is>
          <t>JWT-only</t>
        </is>
      </c>
      <c r="C10" s="2" t="inlineStr">
        <is>
          <t>DC-003</t>
        </is>
      </c>
      <c r="D10" s="2" t="b">
        <v>0</v>
      </c>
      <c r="E10" s="2" t="inlineStr">
        <is>
          <t>Wire in RBACEngine</t>
        </is>
      </c>
      <c r="F10" s="2" t="inlineStr">
        <is>
          <t>Ironic given this is the platform's own API gateway - highest-leverage single place to add RBAC since all traffic already passes through it</t>
        </is>
      </c>
    </row>
    <row r="11">
      <c r="A11" s="2" t="inlineStr">
        <is>
          <t>SRV-INF-001</t>
        </is>
      </c>
      <c r="B11" s="2" t="inlineStr">
        <is>
          <t>JWT-only</t>
        </is>
      </c>
      <c r="C11" s="2" t="inlineStr">
        <is>
          <t>DC-003</t>
        </is>
      </c>
      <c r="D11" s="2" t="b">
        <v>0</v>
      </c>
      <c r="E11" s="2" t="inlineStr">
        <is>
          <t>Not applicable - this is the token issuer</t>
        </is>
      </c>
      <c r="F11" s="2" t="inlineStr">
        <is>
          <t>Correct by design that the issuer doesn't self-check RBAC - downstream services (currently only 5 of them) are supposed to</t>
        </is>
      </c>
    </row>
    <row r="12">
      <c r="A12" s="2" t="inlineStr">
        <is>
          <t>SRV-WS-001</t>
        </is>
      </c>
      <c r="B12" s="2" t="inlineStr">
        <is>
          <t>JWT-only</t>
        </is>
      </c>
      <c r="C12" s="2" t="inlineStr">
        <is>
          <t>DC-002</t>
        </is>
      </c>
      <c r="D12" s="2" t="b">
        <v>0</v>
      </c>
      <c r="E12" s="2" t="inlineStr">
        <is>
          <t>Wire in RBACEngine</t>
        </is>
      </c>
      <c r="F12" s="2" t="inlineStr">
        <is>
          <t>AI/Agent/Bot traffic hub (The Nexus) - exactly where differentiating AI vs Agent vs Bot access matters most and currently doesn't happen</t>
        </is>
      </c>
    </row>
    <row r="13">
      <c r="A13" s="2" t="inlineStr">
        <is>
          <t>SRV-ARTIFACTORY-001</t>
        </is>
      </c>
      <c r="B13" s="2" t="inlineStr">
        <is>
          <t>None detected</t>
        </is>
      </c>
      <c r="C13" s="2" t="inlineStr">
        <is>
          <t>DC-002</t>
        </is>
      </c>
      <c r="D13" s="2" t="b">
        <v>0</v>
      </c>
      <c r="E13" s="2" t="inlineStr">
        <is>
          <t>Add INTERNAL_SECRET baseline</t>
        </is>
      </c>
      <c r="F13" s="2" t="inlineStr">
        <is>
          <t>Candidate for near-term baseline fix, not urgent (Internal not Confidential classification)</t>
        </is>
      </c>
    </row>
    <row r="14">
      <c r="A14" s="2" t="inlineStr">
        <is>
          <t>SRV-BACKUP-001</t>
        </is>
      </c>
      <c r="B14" s="2" t="inlineStr">
        <is>
          <t>None detected (FIXED this session)</t>
        </is>
      </c>
      <c r="C14" s="2" t="inlineStr">
        <is>
          <t>DC-003</t>
        </is>
      </c>
      <c r="D14" s="2" t="b">
        <v>0</v>
      </c>
      <c r="E14" s="2" t="inlineStr">
        <is>
          <t>DONE (baseline) - RBAC/ABAC still recommended next</t>
        </is>
      </c>
      <c r="F14" s="2" t="inlineStr">
        <is>
          <t>Fixed this session - see ACCESS-CONTROL-GOVERNANCE.md section 2. RBAC/ABAC upgrade still open.</t>
        </is>
      </c>
    </row>
    <row r="15">
      <c r="A15" s="2" t="inlineStr">
        <is>
          <t>SRV-BLENDER-001</t>
        </is>
      </c>
      <c r="B15" s="2" t="inlineStr">
        <is>
          <t>None detected</t>
        </is>
      </c>
      <c r="C15" s="2" t="inlineStr">
        <is>
          <t>DC-002</t>
        </is>
      </c>
      <c r="D15" s="2" t="b">
        <v>0</v>
      </c>
      <c r="E15" s="2" t="inlineStr">
        <is>
          <t>Add INTERNAL_SECRET baseline</t>
        </is>
      </c>
      <c r="F15" s="2" t="inlineStr">
        <is>
          <t>Candidate for near-term baseline fix, not urgent</t>
        </is>
      </c>
    </row>
    <row r="16">
      <c r="A16" s="2" t="inlineStr">
        <is>
          <t>SRV-DSPY-001</t>
        </is>
      </c>
      <c r="B16" s="2" t="inlineStr">
        <is>
          <t>None detected</t>
        </is>
      </c>
      <c r="C16" s="2" t="inlineStr">
        <is>
          <t>DC-002</t>
        </is>
      </c>
      <c r="D16" s="2" t="b">
        <v>0</v>
      </c>
      <c r="E16" s="2" t="inlineStr">
        <is>
          <t>Add INTERNAL_SECRET baseline</t>
        </is>
      </c>
      <c r="F16" s="2" t="inlineStr">
        <is>
          <t>Candidate for near-term baseline fix, not urgent</t>
        </is>
      </c>
    </row>
    <row r="17">
      <c r="A17" s="2" t="inlineStr">
        <is>
          <t>SRV-FFMPEG-001</t>
        </is>
      </c>
      <c r="B17" s="2" t="inlineStr">
        <is>
          <t>None detected</t>
        </is>
      </c>
      <c r="C17" s="2" t="inlineStr">
        <is>
          <t>DC-002</t>
        </is>
      </c>
      <c r="D17" s="2" t="b">
        <v>0</v>
      </c>
      <c r="E17" s="2" t="inlineStr">
        <is>
          <t>Add INTERNAL_SECRET baseline</t>
        </is>
      </c>
      <c r="F17" s="2" t="inlineStr">
        <is>
          <t>Candidate for near-term baseline fix, not urgent</t>
        </is>
      </c>
    </row>
    <row r="18">
      <c r="A18" s="2" t="inlineStr">
        <is>
          <t>SRV-FILES-001</t>
        </is>
      </c>
      <c r="B18" s="2" t="inlineStr">
        <is>
          <t>INTERNAL_SECRET-equivalent</t>
        </is>
      </c>
      <c r="C18" s="2" t="inlineStr">
        <is>
          <t>DC-003</t>
        </is>
      </c>
      <c r="D18" s="2" t="b">
        <v>0</v>
      </c>
      <c r="E18" s="2" t="inlineStr">
        <is>
          <t>Upgrade to RBAC/ABAC given DC-003 classification</t>
        </is>
      </c>
      <c r="F18" s="2" t="inlineStr">
        <is>
          <t>Not a zero-auth service after all - corrected before this review was finalized, not left inaccurate</t>
        </is>
      </c>
    </row>
    <row r="19">
      <c r="A19" s="2" t="inlineStr">
        <is>
          <t>SRV-HAYSTACK-001</t>
        </is>
      </c>
      <c r="B19" s="2" t="inlineStr">
        <is>
          <t>None detected</t>
        </is>
      </c>
      <c r="C19" s="2" t="inlineStr">
        <is>
          <t>DC-002</t>
        </is>
      </c>
      <c r="D19" s="2" t="b">
        <v>0</v>
      </c>
      <c r="E19" s="2" t="inlineStr">
        <is>
          <t>Add INTERNAL_SECRET baseline</t>
        </is>
      </c>
      <c r="F19" s="2" t="inlineStr">
        <is>
          <t>Candidate for near-term baseline fix, not urgent</t>
        </is>
      </c>
    </row>
    <row r="20">
      <c r="A20" s="2" t="inlineStr">
        <is>
          <t>SRV-SHARDS-001</t>
        </is>
      </c>
      <c r="B20" s="2" t="inlineStr">
        <is>
          <t>None detected</t>
        </is>
      </c>
      <c r="C20" s="2" t="inlineStr">
        <is>
          <t>DC-003</t>
        </is>
      </c>
      <c r="D20" s="2" t="b">
        <v>0</v>
      </c>
      <c r="E20" s="2" t="inlineStr">
        <is>
          <t>URGENT - add RBAC/ABAC to match its Infinity-family siblings</t>
        </is>
      </c>
      <c r="F20" s="2" t="inlineStr">
        <is>
          <t>Should follow the same pattern as infinity-admin/one/portal-service, not be the exception</t>
        </is>
      </c>
    </row>
    <row r="21">
      <c r="A21" s="2" t="inlineStr">
        <is>
          <t>SRV-LITELLM-001</t>
        </is>
      </c>
      <c r="B21" s="2" t="inlineStr">
        <is>
          <t>None detected</t>
        </is>
      </c>
      <c r="C21" s="2" t="inlineStr">
        <is>
          <t>DC-002</t>
        </is>
      </c>
      <c r="D21" s="2" t="b">
        <v>0</v>
      </c>
      <c r="E21" s="2" t="inlineStr">
        <is>
          <t>Add INTERNAL_SECRET baseline</t>
        </is>
      </c>
      <c r="F21" s="2" t="inlineStr">
        <is>
          <t>Also flagged in 18_cost_and_revenue_review.csv REV-LITELLM-001 for a different reason (provider list needs review) - two separate real gaps on the same service</t>
        </is>
      </c>
    </row>
    <row r="22">
      <c r="A22" s="2" t="inlineStr">
        <is>
          <t>SRV-LLAMAINDEX-001</t>
        </is>
      </c>
      <c r="B22" s="2" t="inlineStr">
        <is>
          <t>None detected</t>
        </is>
      </c>
      <c r="C22" s="2" t="inlineStr">
        <is>
          <t>DC-002</t>
        </is>
      </c>
      <c r="D22" s="2" t="b">
        <v>0</v>
      </c>
      <c r="E22" s="2" t="inlineStr">
        <is>
          <t>Add INTERNAL_SECRET baseline</t>
        </is>
      </c>
      <c r="F22" s="2" t="inlineStr">
        <is>
          <t>Candidate for near-term baseline fix, not urgent</t>
        </is>
      </c>
    </row>
    <row r="23">
      <c r="A23" s="2" t="inlineStr">
        <is>
          <t>SRV-MLFLOW-001</t>
        </is>
      </c>
      <c r="B23" s="2" t="inlineStr">
        <is>
          <t>None detected</t>
        </is>
      </c>
      <c r="C23" s="2" t="inlineStr">
        <is>
          <t>DC-002</t>
        </is>
      </c>
      <c r="D23" s="2" t="b">
        <v>0</v>
      </c>
      <c r="E23" s="2" t="inlineStr">
        <is>
          <t>Add INTERNAL_SECRET baseline</t>
        </is>
      </c>
      <c r="F23" s="2" t="inlineStr">
        <is>
          <t>Candidate for near-term baseline fix, not urgent</t>
        </is>
      </c>
    </row>
    <row r="24">
      <c r="A24" s="2" t="inlineStr">
        <is>
          <t>SRV-OPTHEALTH-001</t>
        </is>
      </c>
      <c r="B24" s="2" t="inlineStr">
        <is>
          <t>None detected</t>
        </is>
      </c>
      <c r="C24" s="2" t="inlineStr">
        <is>
          <t>DC-002</t>
        </is>
      </c>
      <c r="D24" s="2" t="b">
        <v>0</v>
      </c>
      <c r="E24" s="2" t="inlineStr">
        <is>
          <t>Add INTERNAL_SECRET baseline before deployment</t>
        </is>
      </c>
      <c r="F24" s="2" t="inlineStr">
        <is>
          <t>Low urgency given non-deployment</t>
        </is>
      </c>
    </row>
    <row r="25">
      <c r="A25" s="2" t="inlineStr">
        <is>
          <t>SRV-TRANC3AI-001</t>
        </is>
      </c>
      <c r="B25" s="2" t="inlineStr">
        <is>
          <t>Bearer/delegated-auth</t>
        </is>
      </c>
      <c r="C25" s="2" t="inlineStr">
        <is>
          <t>DC-002</t>
        </is>
      </c>
      <c r="D25" s="2" t="b">
        <v>0</v>
      </c>
      <c r="E25" s="2" t="inlineStr">
        <is>
          <t>Wire returned role into RBACEngine rather than leaving it unused</t>
        </is>
      </c>
      <c r="F25" s="2" t="inlineStr">
        <is>
          <t>Not a zero-auth service after all - corrected before this review was finalized. The dev-mode bypass condition is worth a dedicated look, separate from this review</t>
        </is>
      </c>
    </row>
    <row r="26">
      <c r="A26" s="2" t="inlineStr">
        <is>
          <t>SRV-TRIPOSR-001</t>
        </is>
      </c>
      <c r="B26" s="2" t="inlineStr">
        <is>
          <t>None detected</t>
        </is>
      </c>
      <c r="C26" s="2" t="inlineStr">
        <is>
          <t>DC-002</t>
        </is>
      </c>
      <c r="D26" s="2" t="b">
        <v>0</v>
      </c>
      <c r="E26" s="2" t="inlineStr">
        <is>
          <t>Add INTERNAL_SECRET baseline</t>
        </is>
      </c>
      <c r="F26" s="2" t="inlineStr">
        <is>
          <t>Candidate for near-term baseline fix, not urgent</t>
        </is>
      </c>
    </row>
    <row r="27">
      <c r="A27" s="2" t="inlineStr">
        <is>
          <t>SRV-TURINGSHUB-001</t>
        </is>
      </c>
      <c r="B27" s="2" t="inlineStr">
        <is>
          <t>None detected</t>
        </is>
      </c>
      <c r="C27" s="2" t="inlineStr">
        <is>
          <t>DC-002</t>
        </is>
      </c>
      <c r="D27" s="2" t="b">
        <v>0</v>
      </c>
      <c r="E27" s="2" t="inlineStr">
        <is>
          <t>Add INTERNAL_SECRET baseline</t>
        </is>
      </c>
      <c r="F27" s="2" t="inlineStr">
        <is>
          <t>Candidate for near-term baseline fix, not urgent</t>
        </is>
      </c>
    </row>
    <row r="30">
      <c r="A30" s="3" t="inlineStr">
        <is>
          <t>Summary</t>
        </is>
      </c>
    </row>
    <row r="31">
      <c r="A31" t="inlineStr">
        <is>
          <t>Services with a distinct auth signal reviewed</t>
        </is>
      </c>
      <c r="B31">
        <f>COUNTA(A5:A27)</f>
        <v/>
      </c>
    </row>
    <row r="32">
      <c r="A32" t="inlineStr">
        <is>
          <t>RBAC/ABAC (full tier-aware access control)</t>
        </is>
      </c>
      <c r="B32">
        <f>COUNTIF(B5:B27,"RBAC/ABAC")</f>
        <v/>
      </c>
    </row>
    <row r="33">
      <c r="A33" t="inlineStr">
        <is>
          <t>JWT-only (no role/attribute differentiation)</t>
        </is>
      </c>
      <c r="B33">
        <f>COUNTIF(B5:B27,"JWT-only")</f>
        <v/>
      </c>
    </row>
    <row r="34">
      <c r="A34" t="inlineStr">
        <is>
          <t>No auth mechanism detected</t>
        </is>
      </c>
      <c r="B34">
        <f>COUNTIF(B5:B27,"None detected")</f>
        <v/>
      </c>
    </row>
    <row r="35">
      <c r="A35" t="inlineStr">
        <is>
          <t>No auth AND DC-003/DC-004 (Confidential/Restricted) — urgent</t>
        </is>
      </c>
      <c r="B35">
        <f>SUMPRODUCT((B5:B27="None detected")*((C5:C27="DC-003")+(C5:C27="DC-004")))</f>
        <v/>
      </c>
    </row>
  </sheetData>
  <mergeCells count="1">
    <mergeCell ref="A2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  <row r="107">
      <c r="A107" s="3" t="inlineStr">
        <is>
          <t>workers/* directories NOT referenced anywhere in the EA workbook</t>
        </is>
      </c>
      <c r="B107" t="n">
        <v>0</v>
      </c>
    </row>
    <row r="108">
      <c r="A108" s="2" t="inlineStr">
        <is>
          <t>(none — full coverage)</t>
        </is>
      </c>
    </row>
  </sheetData>
  <mergeCells count="2">
    <mergeCell ref="A108:F108"/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  <row r="10">
      <c r="A10" s="2" t="inlineStr">
        <is>
          <t>workers/* directories missing from the EA workbook (see All Workers (Broad Scan) sheet)</t>
        </is>
      </c>
      <c r="B10">
        <f>'All Workers (Broad Scan)'!B107</f>
        <v/>
      </c>
      <c r="C10">
        <f>IF(B10=D10,"PASS","FAIL")</f>
        <v/>
      </c>
      <c r="D10" t="n">
        <v>0</v>
      </c>
    </row>
    <row r="11">
      <c r="A11" s="2" t="inlineStr">
        <is>
          <t>EA workbook services with Owner = Unmapped (real gap, not yet 0 — tracked here on purpose)</t>
        </is>
      </c>
      <c r="B11">
        <f>COUNTIF('EA Workbook Services'!C5:C96,"Unmapped")</f>
        <v/>
      </c>
      <c r="C11">
        <f>IF(B11=D11,"PASS","FAIL")</f>
        <v/>
      </c>
      <c r="D11" t="n">
        <v>0</v>
      </c>
    </row>
    <row r="12">
      <c r="A12" s="2" t="inlineStr">
        <is>
          <t>Services with NO auth mechanism AND Confidential/Restricted data (see Access Control Review — urgent, see docs/governance/ACCESS-CONTROL-GOVERNANCE.md)</t>
        </is>
      </c>
      <c r="B12">
        <f>'Access Control Review'!B35</f>
        <v/>
      </c>
      <c r="C12">
        <f>IF(B12=D12,"PASS","FAIL")</f>
        <v/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2026-07-18T00:09:08Z</dcterms:created>
  <dcterms:modified xsi:type="dcterms:W3CDTF">2026-07-18T00:09:08Z</dcterms:modified>
</cp:coreProperties>
</file>